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fd8c4ffb377ae41a/문서/Sayali Documents/"/>
    </mc:Choice>
  </mc:AlternateContent>
  <xr:revisionPtr revIDLastSave="3" documentId="8_{F759D2A5-114E-44D9-A3FC-C35E46E6E01F}" xr6:coauthVersionLast="47" xr6:coauthVersionMax="47" xr10:uidLastSave="{33C1F467-4EC0-41ED-96C0-08EBCA9FF3C6}"/>
  <bookViews>
    <workbookView xWindow="-108" yWindow="-108" windowWidth="23256" windowHeight="12456" firstSheet="1" activeTab="1" xr2:uid="{F22F1FB6-9088-45AD-9D08-785A3704276D}"/>
  </bookViews>
  <sheets>
    <sheet name="Pivot Report" sheetId="1" r:id="rId1"/>
    <sheet name="Dashboard" sheetId="2" r:id="rId2"/>
    <sheet name="Daily ER No.of Patient" sheetId="4" r:id="rId3"/>
    <sheet name="Avg wait time daily trend" sheetId="5" r:id="rId4"/>
    <sheet name="Satisfaction daily trend" sheetId="6" r:id="rId5"/>
  </sheets>
  <definedNames>
    <definedName name="Slicer_Date__Month">#N/A</definedName>
    <definedName name="Slicer_Date__Year">#N/A</definedName>
  </definedNames>
  <calcPr calcId="191029"/>
  <pivotCaches>
    <pivotCache cacheId="1621" r:id="rId6"/>
    <pivotCache cacheId="1624" r:id="rId7"/>
    <pivotCache cacheId="1627" r:id="rId8"/>
    <pivotCache cacheId="1630" r:id="rId9"/>
    <pivotCache cacheId="1633" r:id="rId10"/>
    <pivotCache cacheId="1636" r:id="rId11"/>
    <pivotCache cacheId="1639" r:id="rId12"/>
    <pivotCache cacheId="1642" r:id="rId13"/>
    <pivotCache cacheId="1645" r:id="rId14"/>
    <pivotCache cacheId="1648" r:id="rId15"/>
    <pivotCache cacheId="1651" r:id="rId16"/>
    <pivotCache cacheId="1654" r:id="rId17"/>
  </pivotCaches>
  <extLst>
    <ext xmlns:x14="http://schemas.microsoft.com/office/spreadsheetml/2009/9/main" uri="{876F7934-8845-4945-9796-88D515C7AA90}">
      <x14:pivotCaches>
        <pivotCache cacheId="538" r:id="rId18"/>
        <pivotCache cacheId="624"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28ea8f7-c610-42fe-8f1d-8c3e51bc976d" name="Hospital Emergency Room Data" connection="Query - Hospital Emergency Room Data"/>
          <x15:modelTable id="Calendar Table_952dca9a-1fac-48a3-b8ff-7d35c48b2c95" name="Calendar Table" connection="Query - Calendar Table"/>
        </x15:modelTables>
        <x15:modelRelationships>
          <x15:modelRelationship fromTable="Hospital Emergency Room Data" fromColumn="Patient Admission Date" toTable="Calendar Table" toColumn="Date"/>
        </x15:modelRelationships>
        <x15:extLst>
          <ext xmlns:x16="http://schemas.microsoft.com/office/spreadsheetml/2014/11/main" uri="{9835A34E-60A6-4A7C-AAB8-D5F71C897F49}">
            <x16:modelTimeGroupings>
              <x16:modelTimeGrouping tableName="Calenda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4" i="1" l="1"/>
  <c r="B44" i="1"/>
  <c r="C44" i="1"/>
  <c r="A45" i="1"/>
  <c r="B45" i="1"/>
  <c r="C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CEFA91-1700-466A-995E-5BEA07653621}" name="Query - Calendar Table" description="Connection to the 'Calendar Table' query in the workbook." type="100" refreshedVersion="8" minRefreshableVersion="5">
    <extLst>
      <ext xmlns:x15="http://schemas.microsoft.com/office/spreadsheetml/2010/11/main" uri="{DE250136-89BD-433C-8126-D09CA5730AF9}">
        <x15:connection id="0027e763-6829-446d-856b-02ab647639f2"/>
      </ext>
    </extLst>
  </connection>
  <connection id="2" xr16:uid="{A76694DC-A5F2-4207-ABF2-FF9E1B44609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1001613-eb3a-4296-a50c-ba869d237605"/>
      </ext>
    </extLst>
  </connection>
  <connection id="3" xr16:uid="{B0011A22-3F26-4AF0-BFD7-CEFEFD5B635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<sst xmlns="http://schemas.openxmlformats.org/spreadsheetml/2006/main" count="156" uniqueCount="74">
  <si>
    <t>Distinct Count of Patient Id</t>
  </si>
  <si>
    <t>No. of Patient</t>
  </si>
  <si>
    <t>Average of Patient Waittime</t>
  </si>
  <si>
    <t>Average of Patient Satisfaction Score</t>
  </si>
  <si>
    <t>Grand Total</t>
  </si>
  <si>
    <t>2024</t>
  </si>
  <si>
    <t>Row Labels</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</si>
  <si>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</si>
  <si>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</si>
  <si>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</si>
  <si>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</si>
  <si>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</si>
  <si>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</si>
  <si>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</si>
  <si>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</si>
  <si>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</si>
  <si>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</si>
  <si>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</si>
  <si>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</si>
  <si>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</si>
  <si>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</si>
  <si>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</si>
  <si>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</si>
  <si>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</si>
  <si>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</si>
  <si>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</si>
  <si>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</si>
  <si>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</si>
  <si>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</si>
  <si>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</si>
  <si>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</si>
  <si>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</si>
  <si>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</si>
  <si>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</si>
  <si>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</si>
  <si>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</si>
  <si>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</si>
  <si>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</si>
  <si>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Daily trends of no. of patient</t>
  </si>
  <si>
    <t>Average wait time</t>
  </si>
  <si>
    <t>Satisfaction daily trend</t>
  </si>
  <si>
    <t>Count of Patient Attend Status</t>
  </si>
  <si>
    <t>Count of Patient Admission Flag</t>
  </si>
  <si>
    <t>Admitted</t>
  </si>
  <si>
    <t>Not Admitted</t>
  </si>
  <si>
    <t>Count of Patient Admission Flag2</t>
  </si>
  <si>
    <t>Admission Status</t>
  </si>
  <si>
    <t>% Status</t>
  </si>
  <si>
    <t>Count of Age Group</t>
  </si>
  <si>
    <t>0-09</t>
  </si>
  <si>
    <t>10-19</t>
  </si>
  <si>
    <t>20-29</t>
  </si>
  <si>
    <t>30-39</t>
  </si>
  <si>
    <t>40-49</t>
  </si>
  <si>
    <t>50-59</t>
  </si>
  <si>
    <t>60-69</t>
  </si>
  <si>
    <t>70-79</t>
  </si>
  <si>
    <t>Age Group wise analysis</t>
  </si>
  <si>
    <t>Delay</t>
  </si>
  <si>
    <t>Ontime</t>
  </si>
  <si>
    <t>Attended Status</t>
  </si>
  <si>
    <t>Count of Patient Gender</t>
  </si>
  <si>
    <t>Female</t>
  </si>
  <si>
    <t>Male</t>
  </si>
  <si>
    <t>Geder Wise Analysis</t>
  </si>
  <si>
    <t>Count of Department Referral</t>
  </si>
  <si>
    <t>Cardiology</t>
  </si>
  <si>
    <t>Gastroenterology</t>
  </si>
  <si>
    <t>General Practice</t>
  </si>
  <si>
    <t>Neurology</t>
  </si>
  <si>
    <t>None</t>
  </si>
  <si>
    <t>Orthopedics</t>
  </si>
  <si>
    <t>Physiotherapy</t>
  </si>
  <si>
    <t>Renal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</si>
</sst>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theme="1"/>
      <name val="Mangal"/>
      <family val="2"/>
      <scheme val="minor"/>
    </font>
    <font>
      <sz val="11"/>
      <color theme="1"/>
      <name val="Mangal"/>
      <family val="2"/>
      <scheme val="minor"/>
    </font>
    <font>
      <b/>
      <sz val="11"/>
      <color theme="1"/>
      <name val="Aptos Narrow (Body)"/>
    </font>
    <font>
      <sz val="11"/>
      <color theme="1"/>
      <name val="Aptos Narrow (Body)"/>
    </font>
    <font>
      <sz val="12"/>
      <color theme="1"/>
      <name val="Aptos Narrow (Body)"/>
    </font>
  </fonts>
  <fills count="7">
    <fill>
      <patternFill patternType="none"/>
    </fill>
    <fill>
      <patternFill patternType="gray125"/>
    </fill>
    <fill>
      <patternFill patternType="solid">
        <fgColor theme="2" tint="-0.89999084444715716"/>
        <bgColor indexed="64"/>
      </patternFill>
    </fill>
    <fill>
      <patternFill patternType="solid">
        <fgColor theme="0"/>
        <bgColor indexed="64"/>
      </patternFill>
    </fill>
    <fill>
      <patternFill patternType="solid">
        <fgColor theme="2"/>
        <bgColor indexed="64"/>
      </patternFill>
    </fill>
    <fill>
      <patternFill patternType="solid">
        <fgColor theme="4" tint="-0.499984740745262"/>
        <bgColor indexed="64"/>
      </patternFill>
    </fill>
    <fill>
      <patternFill patternType="solid">
        <fgColor theme="2"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applyNumberFormat="1"/>
    <xf numFmtId="0" fontId="0" fillId="0" borderId="0" xfId="0" pivotButton="1"/>
    <xf numFmtId="2" fontId="0" fillId="0" borderId="0" xfId="0" applyNumberFormat="1"/>
    <xf numFmtId="0" fontId="0" fillId="0" borderId="0" xfId="0" applyAlignment="1">
      <alignment horizontal="left"/>
    </xf>
    <xf numFmtId="0" fontId="0" fillId="2" borderId="0" xfId="0" applyFill="1"/>
    <xf numFmtId="10" fontId="0" fillId="0" borderId="0" xfId="0" applyNumberFormat="1"/>
    <xf numFmtId="0" fontId="0" fillId="3" borderId="0" xfId="0" applyFill="1"/>
    <xf numFmtId="1" fontId="0" fillId="0" borderId="0" xfId="0" applyNumberFormat="1"/>
    <xf numFmtId="0" fontId="3" fillId="4" borderId="0" xfId="0" applyFont="1" applyFill="1" applyAlignment="1">
      <alignment horizontal="center"/>
    </xf>
    <xf numFmtId="0" fontId="4" fillId="4" borderId="0" xfId="0" applyFont="1" applyFill="1"/>
    <xf numFmtId="9" fontId="3" fillId="4" borderId="0" xfId="1" applyFont="1" applyFill="1" applyAlignment="1">
      <alignment horizontal="center"/>
    </xf>
    <xf numFmtId="0" fontId="0" fillId="5" borderId="0" xfId="0" applyFill="1"/>
    <xf numFmtId="0" fontId="2" fillId="6" borderId="0" xfId="0" applyFont="1" applyFill="1" applyAlignment="1">
      <alignment horizontal="center"/>
    </xf>
    <xf numFmtId="0" fontId="4" fillId="6" borderId="0" xfId="0" applyFont="1" applyFill="1"/>
  </cellXfs>
  <cellStyles count="2">
    <cellStyle name="Normal" xfId="0" builtinId="0"/>
    <cellStyle name="Percent" xfId="1" builtinId="5"/>
  </cellStyles>
  <dxfs count="102">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font>
        <b/>
        <color theme="1"/>
      </font>
      <border>
        <bottom style="thin">
          <color theme="4"/>
        </bottom>
        <vertical/>
        <horizontal/>
      </border>
    </dxf>
    <dxf>
      <font>
        <b/>
        <i val="0"/>
        <sz val="9"/>
        <color theme="1"/>
      </font>
      <fill>
        <patternFill>
          <bgColor theme="2"/>
        </patternFill>
      </fill>
      <border diagonalUp="0" diagonalDown="0">
        <left/>
        <right/>
        <top/>
        <bottom/>
        <vertical/>
        <horizontal/>
      </border>
    </dxf>
  </dxfs>
  <tableStyles count="1" defaultTableStyle="TableStyleMedium2" defaultPivotStyle="PivotStyleLight16">
    <tableStyle name="My Style" pivot="0" table="0" count="10" xr9:uid="{782E3B19-E3E4-4509-A04C-B7B5872A155A}">
      <tableStyleElement type="wholeTable" dxfId="101"/>
      <tableStyleElement type="headerRow" dxfId="100"/>
    </tableStyle>
  </tableStyles>
  <colors>
    <mruColors>
      <color rgb="FF416C3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Project.xlsx]Pivot Report!PivotTable3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F108B8A0-386D-4800-87BF-04C5EAC81552}" type="CELLRANGE">
                  <a:rPr lang="en-US"/>
                  <a:pPr>
                    <a:defRPr sz="1000"/>
                  </a:pPr>
                  <a:t>[CELLRANGE]</a:t>
                </a:fld>
                <a:endParaRPr lang="mr-IN"/>
              </a:p>
            </c:rich>
          </c:tx>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E6D426B6-58BF-47F2-A1AD-E272C5ABA4CB}" type="CELLRANGE">
                  <a:rPr lang="en-US"/>
                  <a:pPr>
                    <a:defRPr sz="1000"/>
                  </a:pPr>
                  <a:t>[CELLRANGE]</a:t>
                </a:fld>
                <a:endParaRPr lang="mr-IN"/>
              </a:p>
            </c:rich>
          </c:tx>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2.0718232044198894E-2"/>
          <c:y val="0.15988420565076425"/>
          <c:w val="0.79734384975526706"/>
          <c:h val="0.73837209302325568"/>
        </c:manualLayout>
      </c:layout>
      <c:barChart>
        <c:barDir val="bar"/>
        <c:grouping val="clustered"/>
        <c:varyColors val="0"/>
        <c:ser>
          <c:idx val="0"/>
          <c:order val="0"/>
          <c:tx>
            <c:strRef>
              <c:f>'Pivot Report'!$B$38</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Report'!$A$39:$A$41</c:f>
              <c:strCache>
                <c:ptCount val="2"/>
                <c:pt idx="0">
                  <c:v>Admitted</c:v>
                </c:pt>
                <c:pt idx="1">
                  <c:v>Not Admitted</c:v>
                </c:pt>
              </c:strCache>
            </c:strRef>
          </c:cat>
          <c:val>
            <c:numRef>
              <c:f>'Pivot Report'!$B$39:$B$41</c:f>
              <c:numCache>
                <c:formatCode>0.00</c:formatCode>
                <c:ptCount val="2"/>
                <c:pt idx="0">
                  <c:v>266</c:v>
                </c:pt>
                <c:pt idx="1">
                  <c:v>253</c:v>
                </c:pt>
              </c:numCache>
            </c:numRef>
          </c:val>
          <c:extLst>
            <c:ext xmlns:c16="http://schemas.microsoft.com/office/drawing/2014/chart" uri="{C3380CC4-5D6E-409C-BE32-E72D297353CC}">
              <c16:uniqueId val="{00000012-0CCA-4B1E-9B80-A5E9D92048D9}"/>
            </c:ext>
          </c:extLst>
        </c:ser>
        <c:ser>
          <c:idx val="1"/>
          <c:order val="1"/>
          <c:tx>
            <c:strRef>
              <c:f>'Pivot Report'!$C$38</c:f>
              <c:strCache>
                <c:ptCount val="1"/>
                <c:pt idx="0">
                  <c:v>Count of Patient Admission Flag2</c:v>
                </c:pt>
              </c:strCache>
            </c:strRef>
          </c:tx>
          <c:spPr>
            <a:solidFill>
              <a:schemeClr val="accent2"/>
            </a:solidFill>
            <a:ln>
              <a:noFill/>
            </a:ln>
            <a:effectLst/>
          </c:spPr>
          <c:invertIfNegative val="0"/>
          <c:cat>
            <c:strRef>
              <c:f>'Pivot Report'!$A$39:$A$41</c:f>
              <c:strCache>
                <c:ptCount val="2"/>
                <c:pt idx="0">
                  <c:v>Admitted</c:v>
                </c:pt>
                <c:pt idx="1">
                  <c:v>Not Admitted</c:v>
                </c:pt>
              </c:strCache>
            </c:strRef>
          </c:cat>
          <c:val>
            <c:numRef>
              <c:f>'Pivot Report'!$C$39:$C$41</c:f>
              <c:numCache>
                <c:formatCode>0.00%</c:formatCode>
                <c:ptCount val="2"/>
                <c:pt idx="0">
                  <c:v>0.51252408477842004</c:v>
                </c:pt>
                <c:pt idx="1">
                  <c:v>0.48747591522157996</c:v>
                </c:pt>
              </c:numCache>
            </c:numRef>
          </c:val>
          <c:extLst>
            <c:ext xmlns:c16="http://schemas.microsoft.com/office/drawing/2014/chart" uri="{C3380CC4-5D6E-409C-BE32-E72D297353CC}">
              <c16:uniqueId val="{00000013-0CCA-4B1E-9B80-A5E9D92048D9}"/>
            </c:ext>
          </c:extLst>
        </c:ser>
        <c:dLbls>
          <c:showLegendKey val="0"/>
          <c:showVal val="0"/>
          <c:showCatName val="0"/>
          <c:showSerName val="0"/>
          <c:showPercent val="0"/>
          <c:showBubbleSize val="0"/>
        </c:dLbls>
        <c:gapWidth val="0"/>
        <c:axId val="262446223"/>
        <c:axId val="262447663"/>
      </c:barChart>
      <c:catAx>
        <c:axId val="262446223"/>
        <c:scaling>
          <c:orientation val="minMax"/>
        </c:scaling>
        <c:delete val="1"/>
        <c:axPos val="l"/>
        <c:numFmt formatCode="General" sourceLinked="1"/>
        <c:majorTickMark val="none"/>
        <c:minorTickMark val="none"/>
        <c:tickLblPos val="nextTo"/>
        <c:crossAx val="262447663"/>
        <c:crosses val="autoZero"/>
        <c:auto val="1"/>
        <c:lblAlgn val="ctr"/>
        <c:lblOffset val="100"/>
        <c:noMultiLvlLbl val="0"/>
      </c:catAx>
      <c:valAx>
        <c:axId val="262447663"/>
        <c:scaling>
          <c:orientation val="minMax"/>
        </c:scaling>
        <c:delete val="1"/>
        <c:axPos val="b"/>
        <c:numFmt formatCode="0.00" sourceLinked="1"/>
        <c:majorTickMark val="none"/>
        <c:minorTickMark val="none"/>
        <c:tickLblPos val="nextTo"/>
        <c:crossAx val="262446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Project.xlsx]Pivot Report!PivotTable7</c:name>
    <c:fmtId val="8"/>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394227748558455E-2"/>
          <c:y val="0.44455285480619278"/>
          <c:w val="0.83313166935214178"/>
          <c:h val="0.47764464224580627"/>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Report'!$E$5:$E$36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7-398B-41F8-80FD-45614A290A7E}"/>
            </c:ext>
          </c:extLst>
        </c:ser>
        <c:dLbls>
          <c:showLegendKey val="0"/>
          <c:showVal val="0"/>
          <c:showCatName val="0"/>
          <c:showSerName val="0"/>
          <c:showPercent val="0"/>
          <c:showBubbleSize val="0"/>
        </c:dLbls>
        <c:axId val="414034815"/>
        <c:axId val="414033855"/>
      </c:areaChart>
      <c:catAx>
        <c:axId val="414034815"/>
        <c:scaling>
          <c:orientation val="minMax"/>
        </c:scaling>
        <c:delete val="1"/>
        <c:axPos val="b"/>
        <c:numFmt formatCode="General" sourceLinked="1"/>
        <c:majorTickMark val="out"/>
        <c:minorTickMark val="none"/>
        <c:tickLblPos val="nextTo"/>
        <c:crossAx val="414033855"/>
        <c:crosses val="autoZero"/>
        <c:auto val="1"/>
        <c:lblAlgn val="ctr"/>
        <c:lblOffset val="100"/>
        <c:noMultiLvlLbl val="0"/>
      </c:catAx>
      <c:valAx>
        <c:axId val="414033855"/>
        <c:scaling>
          <c:orientation val="minMax"/>
        </c:scaling>
        <c:delete val="1"/>
        <c:axPos val="l"/>
        <c:numFmt formatCode="General" sourceLinked="1"/>
        <c:majorTickMark val="none"/>
        <c:minorTickMark val="none"/>
        <c:tickLblPos val="nextTo"/>
        <c:crossAx val="4140348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Project.xlsx]Pivot Report!PivotTable8</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22222222222223E-2"/>
          <c:y val="1.8518518518518517E-2"/>
          <c:w val="0.96666666666666667"/>
          <c:h val="0.96759259259259256"/>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Report'!$J$5:$J$36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7-BDD5-483E-B94E-0FD2CD0F1EE0}"/>
            </c:ext>
          </c:extLst>
        </c:ser>
        <c:dLbls>
          <c:showLegendKey val="0"/>
          <c:showVal val="0"/>
          <c:showCatName val="0"/>
          <c:showSerName val="0"/>
          <c:showPercent val="0"/>
          <c:showBubbleSize val="0"/>
        </c:dLbls>
        <c:axId val="271686527"/>
        <c:axId val="271687007"/>
      </c:areaChart>
      <c:catAx>
        <c:axId val="271686527"/>
        <c:scaling>
          <c:orientation val="minMax"/>
        </c:scaling>
        <c:delete val="1"/>
        <c:axPos val="b"/>
        <c:numFmt formatCode="General" sourceLinked="1"/>
        <c:majorTickMark val="out"/>
        <c:minorTickMark val="none"/>
        <c:tickLblPos val="nextTo"/>
        <c:crossAx val="271687007"/>
        <c:crosses val="autoZero"/>
        <c:auto val="1"/>
        <c:lblAlgn val="ctr"/>
        <c:lblOffset val="100"/>
        <c:noMultiLvlLbl val="0"/>
      </c:catAx>
      <c:valAx>
        <c:axId val="271687007"/>
        <c:scaling>
          <c:orientation val="minMax"/>
        </c:scaling>
        <c:delete val="1"/>
        <c:axPos val="l"/>
        <c:numFmt formatCode="0.00" sourceLinked="1"/>
        <c:majorTickMark val="none"/>
        <c:minorTickMark val="none"/>
        <c:tickLblPos val="nextTo"/>
        <c:crossAx val="2716865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Project.xlsx]Pivot Report!PivotTable9</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224074008686137E-2"/>
          <c:y val="5.6366858781827497E-2"/>
          <c:w val="0.97526283240568956"/>
          <c:h val="0.90994940065481511"/>
        </c:manualLayout>
      </c:layout>
      <c:areaChart>
        <c:grouping val="standard"/>
        <c:varyColors val="0"/>
        <c:ser>
          <c:idx val="0"/>
          <c:order val="0"/>
          <c:tx>
            <c:strRef>
              <c:f>'Pivot Report'!$N$4</c:f>
              <c:strCache>
                <c:ptCount val="1"/>
                <c:pt idx="0">
                  <c:v>Total</c:v>
                </c:pt>
              </c:strCache>
            </c:strRef>
          </c:tx>
          <c:spPr>
            <a:solidFill>
              <a:schemeClr val="accent1"/>
            </a:solidFill>
            <a:ln w="25400">
              <a:noFill/>
            </a:ln>
            <a:effectLst/>
          </c:spPr>
          <c:cat>
            <c:strRef>
              <c:f>'Pivot Report'!$M$5:$M$36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Report'!$N$5:$N$36</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7-E402-408C-83A1-5475B33DF877}"/>
            </c:ext>
          </c:extLst>
        </c:ser>
        <c:dLbls>
          <c:showLegendKey val="0"/>
          <c:showVal val="0"/>
          <c:showCatName val="0"/>
          <c:showSerName val="0"/>
          <c:showPercent val="0"/>
          <c:showBubbleSize val="0"/>
        </c:dLbls>
        <c:axId val="625065647"/>
        <c:axId val="625066607"/>
      </c:areaChart>
      <c:catAx>
        <c:axId val="625065647"/>
        <c:scaling>
          <c:orientation val="minMax"/>
        </c:scaling>
        <c:delete val="1"/>
        <c:axPos val="b"/>
        <c:numFmt formatCode="General" sourceLinked="1"/>
        <c:majorTickMark val="out"/>
        <c:minorTickMark val="none"/>
        <c:tickLblPos val="nextTo"/>
        <c:crossAx val="625066607"/>
        <c:crosses val="autoZero"/>
        <c:auto val="1"/>
        <c:lblAlgn val="ctr"/>
        <c:lblOffset val="100"/>
        <c:noMultiLvlLbl val="0"/>
      </c:catAx>
      <c:valAx>
        <c:axId val="625066607"/>
        <c:scaling>
          <c:orientation val="minMax"/>
        </c:scaling>
        <c:delete val="1"/>
        <c:axPos val="l"/>
        <c:numFmt formatCode="0.00" sourceLinked="1"/>
        <c:majorTickMark val="none"/>
        <c:minorTickMark val="none"/>
        <c:tickLblPos val="nextTo"/>
        <c:crossAx val="6250656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Project.xlsx]Pivot Report!PivotTable10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Report'!$A$49:$A$57</c:f>
              <c:strCache>
                <c:ptCount val="8"/>
                <c:pt idx="0">
                  <c:v>0-09</c:v>
                </c:pt>
                <c:pt idx="1">
                  <c:v>10-19</c:v>
                </c:pt>
                <c:pt idx="2">
                  <c:v>20-29</c:v>
                </c:pt>
                <c:pt idx="3">
                  <c:v>30-39</c:v>
                </c:pt>
                <c:pt idx="4">
                  <c:v>40-49</c:v>
                </c:pt>
                <c:pt idx="5">
                  <c:v>50-59</c:v>
                </c:pt>
                <c:pt idx="6">
                  <c:v>60-69</c:v>
                </c:pt>
                <c:pt idx="7">
                  <c:v>70-79</c:v>
                </c:pt>
              </c:strCache>
            </c:strRef>
          </c:cat>
          <c:val>
            <c:numRef>
              <c:f>'Pivot Report'!$B$49:$B$57</c:f>
              <c:numCache>
                <c:formatCode>0</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7-934C-41CF-AB42-0F380578AEA1}"/>
            </c:ext>
          </c:extLst>
        </c:ser>
        <c:dLbls>
          <c:showLegendKey val="0"/>
          <c:showVal val="0"/>
          <c:showCatName val="0"/>
          <c:showSerName val="0"/>
          <c:showPercent val="0"/>
          <c:showBubbleSize val="0"/>
        </c:dLbls>
        <c:gapWidth val="219"/>
        <c:overlap val="-27"/>
        <c:axId val="263670463"/>
        <c:axId val="273574431"/>
      </c:barChart>
      <c:catAx>
        <c:axId val="26367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273574431"/>
        <c:crosses val="autoZero"/>
        <c:auto val="1"/>
        <c:lblAlgn val="ctr"/>
        <c:lblOffset val="100"/>
        <c:noMultiLvlLbl val="0"/>
      </c:catAx>
      <c:valAx>
        <c:axId val="273574431"/>
        <c:scaling>
          <c:orientation val="minMax"/>
        </c:scaling>
        <c:delete val="1"/>
        <c:axPos val="l"/>
        <c:numFmt formatCode="0" sourceLinked="1"/>
        <c:majorTickMark val="none"/>
        <c:minorTickMark val="none"/>
        <c:tickLblPos val="nextTo"/>
        <c:crossAx val="2636704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Project.xlsx]Pivot Report!PivotTable11</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schemeClr val="bg1">
                <a:alpha val="20000"/>
              </a:scheme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mr-IN"/>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schemeClr val="bg1">
                <a:alpha val="20000"/>
              </a:schemeClr>
            </a:outerShdw>
          </a:effectLst>
        </c:spPr>
      </c:pivotFmt>
      <c:pivotFmt>
        <c:idx val="6"/>
        <c:spPr>
          <a:solidFill>
            <a:schemeClr val="accent2"/>
          </a:solidFill>
          <a:ln>
            <a:noFill/>
          </a:ln>
          <a:effectLst>
            <a:outerShdw blurRad="254000" sx="102000" sy="102000" algn="ctr" rotWithShape="0">
              <a:schemeClr val="bg1">
                <a:alpha val="20000"/>
              </a:schemeClr>
            </a:outerShdw>
          </a:effectLst>
        </c:spPr>
      </c:pivotFmt>
    </c:pivotFmts>
    <c:plotArea>
      <c:layout>
        <c:manualLayout>
          <c:layoutTarget val="inner"/>
          <c:xMode val="edge"/>
          <c:yMode val="edge"/>
          <c:x val="0.14472051012798856"/>
          <c:y val="0.2056890335791601"/>
          <c:w val="0.71294199926143353"/>
          <c:h val="0.79431117026296083"/>
        </c:manualLayout>
      </c:layout>
      <c:pieChart>
        <c:varyColors val="1"/>
        <c:ser>
          <c:idx val="0"/>
          <c:order val="0"/>
          <c:tx>
            <c:strRef>
              <c:f>'Pivot Report'!$E$48</c:f>
              <c:strCache>
                <c:ptCount val="1"/>
                <c:pt idx="0">
                  <c:v>Total</c:v>
                </c:pt>
              </c:strCache>
            </c:strRef>
          </c:tx>
          <c:spPr>
            <a:effectLst>
              <a:outerShdw blurRad="254000" sx="102000" sy="102000" algn="ctr" rotWithShape="0">
                <a:schemeClr val="bg1">
                  <a:alpha val="20000"/>
                </a:schemeClr>
              </a:outerShdw>
            </a:effectLst>
          </c:spPr>
          <c:dPt>
            <c:idx val="0"/>
            <c:bubble3D val="0"/>
            <c:spPr>
              <a:solidFill>
                <a:schemeClr val="accent1"/>
              </a:solidFill>
              <a:ln>
                <a:noFill/>
              </a:ln>
              <a:effectLst>
                <a:outerShdw blurRad="254000" sx="102000" sy="102000" algn="ctr" rotWithShape="0">
                  <a:schemeClr val="bg1">
                    <a:alpha val="20000"/>
                  </a:schemeClr>
                </a:outerShdw>
              </a:effectLst>
            </c:spPr>
          </c:dPt>
          <c:dPt>
            <c:idx val="1"/>
            <c:bubble3D val="0"/>
            <c:spPr>
              <a:solidFill>
                <a:schemeClr val="accent2"/>
              </a:solidFill>
              <a:ln>
                <a:noFill/>
              </a:ln>
              <a:effectLst>
                <a:outerShdw blurRad="254000" sx="102000" sy="102000" algn="ctr" rotWithShape="0">
                  <a:schemeClr val="bg1">
                    <a:alpha val="20000"/>
                  </a:scheme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mr-IN"/>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Report'!$D$49:$D$51</c:f>
              <c:strCache>
                <c:ptCount val="2"/>
                <c:pt idx="0">
                  <c:v>Delay</c:v>
                </c:pt>
                <c:pt idx="1">
                  <c:v>Ontime</c:v>
                </c:pt>
              </c:strCache>
            </c:strRef>
          </c:cat>
          <c:val>
            <c:numRef>
              <c:f>'Pivot Report'!$E$49:$E$51</c:f>
              <c:numCache>
                <c:formatCode>0</c:formatCode>
                <c:ptCount val="2"/>
                <c:pt idx="0">
                  <c:v>324</c:v>
                </c:pt>
                <c:pt idx="1">
                  <c:v>195</c:v>
                </c:pt>
              </c:numCache>
            </c:numRef>
          </c:val>
          <c:extLst>
            <c:ext xmlns:c16="http://schemas.microsoft.com/office/drawing/2014/chart" uri="{C3380CC4-5D6E-409C-BE32-E72D297353CC}">
              <c16:uniqueId val="{0000000B-C09B-4925-9AA5-0ED6B8E300B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5459059692529978"/>
          <c:y val="5.0362880598431727E-2"/>
          <c:w val="0.66398647797185906"/>
          <c:h val="0.137200466389148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Project.xlsx]Pivot Report!PivotTable12</c:name>
    <c:fmtId val="1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mr-IN"/>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mr-IN"/>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mr-IN"/>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3709616887907633"/>
          <c:y val="0.20005166688719606"/>
          <c:w val="0.72422410052779285"/>
          <c:h val="0.7084965088401326"/>
        </c:manualLayout>
      </c:layout>
      <c:doughnutChart>
        <c:varyColors val="1"/>
        <c:ser>
          <c:idx val="0"/>
          <c:order val="0"/>
          <c:tx>
            <c:strRef>
              <c:f>'Pivot Report'!$E$54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mr-IN"/>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Report'!$D$55:$D$57</c:f>
              <c:strCache>
                <c:ptCount val="2"/>
                <c:pt idx="0">
                  <c:v>Female</c:v>
                </c:pt>
                <c:pt idx="1">
                  <c:v>Male</c:v>
                </c:pt>
              </c:strCache>
            </c:strRef>
          </c:cat>
          <c:val>
            <c:numRef>
              <c:f>'Pivot Report'!$E$55:$E$57</c:f>
              <c:numCache>
                <c:formatCode>0</c:formatCode>
                <c:ptCount val="2"/>
                <c:pt idx="0">
                  <c:v>254</c:v>
                </c:pt>
                <c:pt idx="1">
                  <c:v>265</c:v>
                </c:pt>
              </c:numCache>
            </c:numRef>
          </c:val>
          <c:extLst>
            <c:ext xmlns:c16="http://schemas.microsoft.com/office/drawing/2014/chart" uri="{C3380CC4-5D6E-409C-BE32-E72D297353CC}">
              <c16:uniqueId val="{0000000B-F583-4489-98C8-C19179FA24A0}"/>
            </c:ext>
          </c:extLst>
        </c:ser>
        <c:dLbls>
          <c:showLegendKey val="0"/>
          <c:showVal val="0"/>
          <c:showCatName val="0"/>
          <c:showSerName val="0"/>
          <c:showPercent val="1"/>
          <c:showBubbleSize val="0"/>
          <c:showLeaderLines val="1"/>
        </c:dLbls>
        <c:firstSliceAng val="0"/>
        <c:holeSize val="35"/>
      </c:doughnutChart>
      <c:spPr>
        <a:noFill/>
        <a:ln>
          <a:noFill/>
        </a:ln>
        <a:effectLst/>
      </c:spPr>
    </c:plotArea>
    <c:legend>
      <c:legendPos val="r"/>
      <c:layout>
        <c:manualLayout>
          <c:xMode val="edge"/>
          <c:yMode val="edge"/>
          <c:x val="0.21482311402071505"/>
          <c:y val="2.2810741883411496E-2"/>
          <c:w val="0.57096150715337979"/>
          <c:h val="0.158375811495672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Project.xlsx]Pivot Report!PivotTable13</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Report'!$H$51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Report'!$G$52:$G$60</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 Report'!$H$52:$H$60</c:f>
              <c:numCache>
                <c:formatCode>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7-62CE-453A-955F-2D008439A573}"/>
            </c:ext>
          </c:extLst>
        </c:ser>
        <c:dLbls>
          <c:showLegendKey val="0"/>
          <c:showVal val="0"/>
          <c:showCatName val="0"/>
          <c:showSerName val="0"/>
          <c:showPercent val="0"/>
          <c:showBubbleSize val="0"/>
        </c:dLbls>
        <c:gapWidth val="50"/>
        <c:axId val="426024767"/>
        <c:axId val="426025247"/>
      </c:barChart>
      <c:catAx>
        <c:axId val="426024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426025247"/>
        <c:crosses val="autoZero"/>
        <c:auto val="1"/>
        <c:lblAlgn val="ctr"/>
        <c:lblOffset val="100"/>
        <c:noMultiLvlLbl val="0"/>
      </c:catAx>
      <c:valAx>
        <c:axId val="426025247"/>
        <c:scaling>
          <c:orientation val="minMax"/>
        </c:scaling>
        <c:delete val="1"/>
        <c:axPos val="b"/>
        <c:numFmt formatCode="0" sourceLinked="1"/>
        <c:majorTickMark val="none"/>
        <c:minorTickMark val="none"/>
        <c:tickLblPos val="nextTo"/>
        <c:crossAx val="42602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Project.xlsx]Pivot Report!PivotTable7</c:name>
    <c:fmtId val="10"/>
  </c:pivotSource>
  <c:chart>
    <c:autoTitleDeleted val="1"/>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220353137675974E-2"/>
          <c:y val="3.7491479209270623E-2"/>
          <c:w val="0.9665939910920226"/>
          <c:h val="0.8549389306562668"/>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mr-I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Report'!$E$5:$E$36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7-4D6E-4EB8-8A66-5DEE6486971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14034815"/>
        <c:axId val="414033855"/>
      </c:areaChart>
      <c:catAx>
        <c:axId val="41403481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mr-IN"/>
          </a:p>
        </c:txPr>
        <c:crossAx val="414033855"/>
        <c:crosses val="autoZero"/>
        <c:auto val="1"/>
        <c:lblAlgn val="ctr"/>
        <c:lblOffset val="100"/>
        <c:noMultiLvlLbl val="0"/>
      </c:catAx>
      <c:valAx>
        <c:axId val="414033855"/>
        <c:scaling>
          <c:orientation val="minMax"/>
        </c:scaling>
        <c:delete val="1"/>
        <c:axPos val="l"/>
        <c:numFmt formatCode="General" sourceLinked="1"/>
        <c:majorTickMark val="out"/>
        <c:minorTickMark val="none"/>
        <c:tickLblPos val="nextTo"/>
        <c:crossAx val="4140348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Project.xlsx]Pivot Report!PivotTable8</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564107352193623E-2"/>
          <c:y val="0"/>
          <c:w val="0.96666666666666667"/>
          <c:h val="0.96759259259259256"/>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mr-I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Report'!$J$5:$J$36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7-E9DB-4519-92F9-B01C8370EAD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71686527"/>
        <c:axId val="271687007"/>
      </c:areaChart>
      <c:catAx>
        <c:axId val="27168652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mr-IN"/>
          </a:p>
        </c:txPr>
        <c:crossAx val="271687007"/>
        <c:crosses val="autoZero"/>
        <c:auto val="1"/>
        <c:lblAlgn val="ctr"/>
        <c:lblOffset val="100"/>
        <c:noMultiLvlLbl val="0"/>
      </c:catAx>
      <c:valAx>
        <c:axId val="271687007"/>
        <c:scaling>
          <c:orientation val="minMax"/>
        </c:scaling>
        <c:delete val="1"/>
        <c:axPos val="l"/>
        <c:numFmt formatCode="0.00" sourceLinked="1"/>
        <c:majorTickMark val="out"/>
        <c:minorTickMark val="none"/>
        <c:tickLblPos val="nextTo"/>
        <c:crossAx val="2716865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Project.xlsx]Pivot Report!PivotTable9</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599573117141678E-2"/>
          <c:y val="5.0925925925925923E-2"/>
          <c:w val="0.94699129294487394"/>
          <c:h val="0.77979695246427527"/>
        </c:manualLayout>
      </c:layout>
      <c:areaChart>
        <c:grouping val="standard"/>
        <c:varyColors val="0"/>
        <c:ser>
          <c:idx val="0"/>
          <c:order val="0"/>
          <c:tx>
            <c:strRef>
              <c:f>'Pivot Report'!$N$4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mr-I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Report'!$M$5:$M$36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Report'!$N$5:$N$36</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7-29D9-4CAB-BD56-C24FDEAAFE4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25065647"/>
        <c:axId val="625066607"/>
      </c:areaChart>
      <c:catAx>
        <c:axId val="62506564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mr-IN"/>
          </a:p>
        </c:txPr>
        <c:crossAx val="625066607"/>
        <c:crosses val="autoZero"/>
        <c:auto val="1"/>
        <c:lblAlgn val="ctr"/>
        <c:lblOffset val="100"/>
        <c:noMultiLvlLbl val="0"/>
      </c:catAx>
      <c:valAx>
        <c:axId val="625066607"/>
        <c:scaling>
          <c:orientation val="minMax"/>
        </c:scaling>
        <c:delete val="1"/>
        <c:axPos val="l"/>
        <c:numFmt formatCode="0.00" sourceLinked="1"/>
        <c:majorTickMark val="out"/>
        <c:minorTickMark val="none"/>
        <c:tickLblPos val="nextTo"/>
        <c:crossAx val="6250656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hyperlink" Target="#'Satisfaction daily trend'!A1"/><Relationship Id="rId18"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3.xml"/><Relationship Id="rId17" Type="http://schemas.openxmlformats.org/officeDocument/2006/relationships/chart" Target="../charts/chart7.xml"/><Relationship Id="rId2" Type="http://schemas.microsoft.com/office/2007/relationships/hdphoto" Target="../media/hdphoto1.wdp"/><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hyperlink" Target="#'Avg wait time daily trend'!A1"/><Relationship Id="rId5" Type="http://schemas.openxmlformats.org/officeDocument/2006/relationships/image" Target="../media/image4.png"/><Relationship Id="rId15" Type="http://schemas.openxmlformats.org/officeDocument/2006/relationships/chart" Target="../charts/chart5.xml"/><Relationship Id="rId10" Type="http://schemas.openxmlformats.org/officeDocument/2006/relationships/chart" Target="../charts/chart2.xml"/><Relationship Id="rId19" Type="http://schemas.openxmlformats.org/officeDocument/2006/relationships/image" Target="../media/image8.emf"/><Relationship Id="rId4" Type="http://schemas.openxmlformats.org/officeDocument/2006/relationships/image" Target="../media/image3.svg"/><Relationship Id="rId9" Type="http://schemas.openxmlformats.org/officeDocument/2006/relationships/hyperlink" Target="#'Daily ER No.of Patient'!A1"/><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961114</xdr:colOff>
      <xdr:row>42</xdr:row>
      <xdr:rowOff>211483</xdr:rowOff>
    </xdr:from>
    <xdr:to>
      <xdr:col>3</xdr:col>
      <xdr:colOff>1755714</xdr:colOff>
      <xdr:row>44</xdr:row>
      <xdr:rowOff>282603</xdr:rowOff>
    </xdr:to>
    <xdr:graphicFrame macro="">
      <xdr:nvGraphicFramePr>
        <xdr:cNvPr id="6" name="Chart 5">
          <a:extLst>
            <a:ext uri="{FF2B5EF4-FFF2-40B4-BE49-F238E27FC236}">
              <a16:creationId xmlns:a16="http://schemas.microsoft.com/office/drawing/2014/main" id="{E30909C8-53A2-B856-5803-B3F9A1A8F9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68579</xdr:colOff>
      <xdr:row>0</xdr:row>
      <xdr:rowOff>68580</xdr:rowOff>
    </xdr:from>
    <xdr:to>
      <xdr:col>6</xdr:col>
      <xdr:colOff>188450</xdr:colOff>
      <xdr:row>2</xdr:row>
      <xdr:rowOff>114709</xdr:rowOff>
    </xdr:to>
    <xdr:sp macro="" textlink="">
      <xdr:nvSpPr>
        <xdr:cNvPr id="2" name="Rectangle: Rounded Corners 1">
          <a:extLst>
            <a:ext uri="{FF2B5EF4-FFF2-40B4-BE49-F238E27FC236}">
              <a16:creationId xmlns:a16="http://schemas.microsoft.com/office/drawing/2014/main" id="{6513FD6E-3754-D5D8-725F-59E0EF0CAD10}"/>
            </a:ext>
          </a:extLst>
        </xdr:cNvPr>
        <xdr:cNvSpPr/>
      </xdr:nvSpPr>
      <xdr:spPr>
        <a:xfrm>
          <a:off x="68579" y="68580"/>
          <a:ext cx="4151097" cy="652452"/>
        </a:xfrm>
        <a:prstGeom prst="roundRect">
          <a:avLst>
            <a:gd name="adj" fmla="val 10156"/>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mr-IN" sz="1100"/>
        </a:p>
      </xdr:txBody>
    </xdr:sp>
    <xdr:clientData/>
  </xdr:twoCellAnchor>
  <xdr:twoCellAnchor editAs="absolute">
    <xdr:from>
      <xdr:col>6</xdr:col>
      <xdr:colOff>245806</xdr:colOff>
      <xdr:row>0</xdr:row>
      <xdr:rowOff>76200</xdr:rowOff>
    </xdr:from>
    <xdr:to>
      <xdr:col>8</xdr:col>
      <xdr:colOff>376902</xdr:colOff>
      <xdr:row>2</xdr:row>
      <xdr:rowOff>122903</xdr:rowOff>
    </xdr:to>
    <xdr:sp macro="" textlink="">
      <xdr:nvSpPr>
        <xdr:cNvPr id="3" name="Rectangle: Rounded Corners 2">
          <a:extLst>
            <a:ext uri="{FF2B5EF4-FFF2-40B4-BE49-F238E27FC236}">
              <a16:creationId xmlns:a16="http://schemas.microsoft.com/office/drawing/2014/main" id="{89A13BAC-E436-3136-0093-27E0737E5400}"/>
            </a:ext>
          </a:extLst>
        </xdr:cNvPr>
        <xdr:cNvSpPr/>
      </xdr:nvSpPr>
      <xdr:spPr>
        <a:xfrm>
          <a:off x="4277032" y="76200"/>
          <a:ext cx="1474838" cy="653026"/>
        </a:xfrm>
        <a:prstGeom prst="roundRect">
          <a:avLst>
            <a:gd name="adj" fmla="val 624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mr-IN" sz="1100"/>
        </a:p>
      </xdr:txBody>
    </xdr:sp>
    <xdr:clientData/>
  </xdr:twoCellAnchor>
  <xdr:twoCellAnchor editAs="absolute">
    <xdr:from>
      <xdr:col>8</xdr:col>
      <xdr:colOff>450645</xdr:colOff>
      <xdr:row>0</xdr:row>
      <xdr:rowOff>73742</xdr:rowOff>
    </xdr:from>
    <xdr:to>
      <xdr:col>11</xdr:col>
      <xdr:colOff>507999</xdr:colOff>
      <xdr:row>6</xdr:row>
      <xdr:rowOff>213032</xdr:rowOff>
    </xdr:to>
    <xdr:sp macro="" textlink="">
      <xdr:nvSpPr>
        <xdr:cNvPr id="4" name="Rectangle: Rounded Corners 3">
          <a:extLst>
            <a:ext uri="{FF2B5EF4-FFF2-40B4-BE49-F238E27FC236}">
              <a16:creationId xmlns:a16="http://schemas.microsoft.com/office/drawing/2014/main" id="{FFBDF4FB-4555-9E11-012C-5965C2E137DE}"/>
            </a:ext>
          </a:extLst>
        </xdr:cNvPr>
        <xdr:cNvSpPr/>
      </xdr:nvSpPr>
      <xdr:spPr>
        <a:xfrm>
          <a:off x="5825613" y="73742"/>
          <a:ext cx="2072967" cy="1958258"/>
        </a:xfrm>
        <a:prstGeom prst="roundRect">
          <a:avLst>
            <a:gd name="adj" fmla="val 216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mr-IN" sz="1100"/>
        </a:p>
      </xdr:txBody>
    </xdr:sp>
    <xdr:clientData/>
  </xdr:twoCellAnchor>
  <xdr:twoCellAnchor editAs="absolute">
    <xdr:from>
      <xdr:col>11</xdr:col>
      <xdr:colOff>581743</xdr:colOff>
      <xdr:row>0</xdr:row>
      <xdr:rowOff>75626</xdr:rowOff>
    </xdr:from>
    <xdr:to>
      <xdr:col>14</xdr:col>
      <xdr:colOff>596492</xdr:colOff>
      <xdr:row>6</xdr:row>
      <xdr:rowOff>204838</xdr:rowOff>
    </xdr:to>
    <xdr:sp macro="" textlink="">
      <xdr:nvSpPr>
        <xdr:cNvPr id="5" name="Rectangle: Rounded Corners 4">
          <a:extLst>
            <a:ext uri="{FF2B5EF4-FFF2-40B4-BE49-F238E27FC236}">
              <a16:creationId xmlns:a16="http://schemas.microsoft.com/office/drawing/2014/main" id="{944A5253-4E56-B91E-0444-AFF1DDF59C17}"/>
            </a:ext>
          </a:extLst>
        </xdr:cNvPr>
        <xdr:cNvSpPr/>
      </xdr:nvSpPr>
      <xdr:spPr>
        <a:xfrm>
          <a:off x="7972324" y="75626"/>
          <a:ext cx="2030362" cy="1948180"/>
        </a:xfrm>
        <a:prstGeom prst="roundRect">
          <a:avLst>
            <a:gd name="adj" fmla="val 300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mr-IN" sz="1100"/>
        </a:p>
      </xdr:txBody>
    </xdr:sp>
    <xdr:clientData/>
  </xdr:twoCellAnchor>
  <xdr:twoCellAnchor editAs="absolute">
    <xdr:from>
      <xdr:col>0</xdr:col>
      <xdr:colOff>68580</xdr:colOff>
      <xdr:row>2</xdr:row>
      <xdr:rowOff>152400</xdr:rowOff>
    </xdr:from>
    <xdr:to>
      <xdr:col>1</xdr:col>
      <xdr:colOff>449580</xdr:colOff>
      <xdr:row>15</xdr:row>
      <xdr:rowOff>236220</xdr:rowOff>
    </xdr:to>
    <xdr:sp macro="" textlink="">
      <xdr:nvSpPr>
        <xdr:cNvPr id="8" name="Rectangle: Rounded Corners 7">
          <a:extLst>
            <a:ext uri="{FF2B5EF4-FFF2-40B4-BE49-F238E27FC236}">
              <a16:creationId xmlns:a16="http://schemas.microsoft.com/office/drawing/2014/main" id="{0CF8E945-C42C-9F9A-92AE-63435B2B773E}"/>
            </a:ext>
          </a:extLst>
        </xdr:cNvPr>
        <xdr:cNvSpPr/>
      </xdr:nvSpPr>
      <xdr:spPr>
        <a:xfrm>
          <a:off x="68580" y="762000"/>
          <a:ext cx="1051560" cy="4046220"/>
        </a:xfrm>
        <a:prstGeom prst="roundRect">
          <a:avLst>
            <a:gd name="adj" fmla="val 2478"/>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mr-IN" sz="1100"/>
        </a:p>
      </xdr:txBody>
    </xdr:sp>
    <xdr:clientData/>
  </xdr:twoCellAnchor>
  <xdr:twoCellAnchor editAs="absolute">
    <xdr:from>
      <xdr:col>1</xdr:col>
      <xdr:colOff>518159</xdr:colOff>
      <xdr:row>2</xdr:row>
      <xdr:rowOff>160020</xdr:rowOff>
    </xdr:from>
    <xdr:to>
      <xdr:col>3</xdr:col>
      <xdr:colOff>650417</xdr:colOff>
      <xdr:row>7</xdr:row>
      <xdr:rowOff>83820</xdr:rowOff>
    </xdr:to>
    <xdr:sp macro="" textlink="">
      <xdr:nvSpPr>
        <xdr:cNvPr id="9" name="Rectangle: Rounded Corners 8">
          <a:extLst>
            <a:ext uri="{FF2B5EF4-FFF2-40B4-BE49-F238E27FC236}">
              <a16:creationId xmlns:a16="http://schemas.microsoft.com/office/drawing/2014/main" id="{662B7AF3-0008-9C76-395A-7154C469E69A}"/>
            </a:ext>
          </a:extLst>
        </xdr:cNvPr>
        <xdr:cNvSpPr/>
      </xdr:nvSpPr>
      <xdr:spPr>
        <a:xfrm>
          <a:off x="1190030" y="766343"/>
          <a:ext cx="1476000" cy="1439606"/>
        </a:xfrm>
        <a:prstGeom prst="roundRect">
          <a:avLst>
            <a:gd name="adj" fmla="val 218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mr-IN" sz="1100"/>
        </a:p>
      </xdr:txBody>
    </xdr:sp>
    <xdr:clientData/>
  </xdr:twoCellAnchor>
  <xdr:twoCellAnchor editAs="absolute">
    <xdr:from>
      <xdr:col>4</xdr:col>
      <xdr:colOff>43196</xdr:colOff>
      <xdr:row>2</xdr:row>
      <xdr:rowOff>168214</xdr:rowOff>
    </xdr:from>
    <xdr:to>
      <xdr:col>6</xdr:col>
      <xdr:colOff>175454</xdr:colOff>
      <xdr:row>7</xdr:row>
      <xdr:rowOff>92408</xdr:rowOff>
    </xdr:to>
    <xdr:sp macro="" textlink="">
      <xdr:nvSpPr>
        <xdr:cNvPr id="10" name="Rectangle: Rounded Corners 9">
          <a:extLst>
            <a:ext uri="{FF2B5EF4-FFF2-40B4-BE49-F238E27FC236}">
              <a16:creationId xmlns:a16="http://schemas.microsoft.com/office/drawing/2014/main" id="{E021E70E-C7FA-3767-BE40-5BFAE72BD2E5}"/>
            </a:ext>
          </a:extLst>
        </xdr:cNvPr>
        <xdr:cNvSpPr/>
      </xdr:nvSpPr>
      <xdr:spPr>
        <a:xfrm>
          <a:off x="2730680" y="774537"/>
          <a:ext cx="1476000" cy="1440000"/>
        </a:xfrm>
        <a:prstGeom prst="roundRect">
          <a:avLst>
            <a:gd name="adj" fmla="val 218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mr-IN" sz="1100"/>
        </a:p>
      </xdr:txBody>
    </xdr:sp>
    <xdr:clientData/>
  </xdr:twoCellAnchor>
  <xdr:twoCellAnchor editAs="absolute">
    <xdr:from>
      <xdr:col>6</xdr:col>
      <xdr:colOff>240595</xdr:colOff>
      <xdr:row>2</xdr:row>
      <xdr:rowOff>180258</xdr:rowOff>
    </xdr:from>
    <xdr:to>
      <xdr:col>8</xdr:col>
      <xdr:colOff>372853</xdr:colOff>
      <xdr:row>7</xdr:row>
      <xdr:rowOff>90129</xdr:rowOff>
    </xdr:to>
    <xdr:sp macro="" textlink="">
      <xdr:nvSpPr>
        <xdr:cNvPr id="11" name="Rectangle: Rounded Corners 10">
          <a:extLst>
            <a:ext uri="{FF2B5EF4-FFF2-40B4-BE49-F238E27FC236}">
              <a16:creationId xmlns:a16="http://schemas.microsoft.com/office/drawing/2014/main" id="{8D377A3B-8A55-03FC-6844-7E21649A272B}"/>
            </a:ext>
          </a:extLst>
        </xdr:cNvPr>
        <xdr:cNvSpPr/>
      </xdr:nvSpPr>
      <xdr:spPr>
        <a:xfrm>
          <a:off x="4271821" y="786581"/>
          <a:ext cx="1476000" cy="1425677"/>
        </a:xfrm>
        <a:prstGeom prst="roundRect">
          <a:avLst>
            <a:gd name="adj" fmla="val 218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mr-IN" sz="1100"/>
        </a:p>
      </xdr:txBody>
    </xdr:sp>
    <xdr:clientData/>
  </xdr:twoCellAnchor>
  <xdr:twoCellAnchor editAs="absolute">
    <xdr:from>
      <xdr:col>1</xdr:col>
      <xdr:colOff>524388</xdr:colOff>
      <xdr:row>10</xdr:row>
      <xdr:rowOff>243840</xdr:rowOff>
    </xdr:from>
    <xdr:to>
      <xdr:col>8</xdr:col>
      <xdr:colOff>393291</xdr:colOff>
      <xdr:row>15</xdr:row>
      <xdr:rowOff>237614</xdr:rowOff>
    </xdr:to>
    <xdr:sp macro="" textlink="">
      <xdr:nvSpPr>
        <xdr:cNvPr id="13" name="Rectangle: Rounded Corners 12">
          <a:extLst>
            <a:ext uri="{FF2B5EF4-FFF2-40B4-BE49-F238E27FC236}">
              <a16:creationId xmlns:a16="http://schemas.microsoft.com/office/drawing/2014/main" id="{7E891B47-8979-0933-9CA4-4F2848935AB8}"/>
            </a:ext>
          </a:extLst>
        </xdr:cNvPr>
        <xdr:cNvSpPr/>
      </xdr:nvSpPr>
      <xdr:spPr>
        <a:xfrm>
          <a:off x="1196259" y="3275453"/>
          <a:ext cx="4572000" cy="1509580"/>
        </a:xfrm>
        <a:prstGeom prst="roundRect">
          <a:avLst>
            <a:gd name="adj" fmla="val 218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mr-IN" sz="1100"/>
        </a:p>
      </xdr:txBody>
    </xdr:sp>
    <xdr:clientData/>
  </xdr:twoCellAnchor>
  <xdr:twoCellAnchor editAs="absolute">
    <xdr:from>
      <xdr:col>8</xdr:col>
      <xdr:colOff>466950</xdr:colOff>
      <xdr:row>6</xdr:row>
      <xdr:rowOff>289560</xdr:rowOff>
    </xdr:from>
    <xdr:to>
      <xdr:col>14</xdr:col>
      <xdr:colOff>596490</xdr:colOff>
      <xdr:row>15</xdr:row>
      <xdr:rowOff>237613</xdr:rowOff>
    </xdr:to>
    <xdr:sp macro="" textlink="">
      <xdr:nvSpPr>
        <xdr:cNvPr id="15" name="Rectangle: Rounded Corners 14">
          <a:extLst>
            <a:ext uri="{FF2B5EF4-FFF2-40B4-BE49-F238E27FC236}">
              <a16:creationId xmlns:a16="http://schemas.microsoft.com/office/drawing/2014/main" id="{F328869B-44B3-48EB-5BFF-AEECBE9DB4D3}"/>
            </a:ext>
          </a:extLst>
        </xdr:cNvPr>
        <xdr:cNvSpPr/>
      </xdr:nvSpPr>
      <xdr:spPr>
        <a:xfrm>
          <a:off x="5841918" y="2108528"/>
          <a:ext cx="4160766" cy="2676504"/>
        </a:xfrm>
        <a:prstGeom prst="roundRect">
          <a:avLst>
            <a:gd name="adj" fmla="val 1427"/>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mr-IN" sz="1100"/>
        </a:p>
      </xdr:txBody>
    </xdr:sp>
    <xdr:clientData/>
  </xdr:twoCellAnchor>
  <xdr:twoCellAnchor editAs="absolute">
    <xdr:from>
      <xdr:col>1</xdr:col>
      <xdr:colOff>243840</xdr:colOff>
      <xdr:row>0</xdr:row>
      <xdr:rowOff>100781</xdr:rowOff>
    </xdr:from>
    <xdr:to>
      <xdr:col>6</xdr:col>
      <xdr:colOff>81935</xdr:colOff>
      <xdr:row>1</xdr:row>
      <xdr:rowOff>139291</xdr:rowOff>
    </xdr:to>
    <xdr:sp macro="" textlink="">
      <xdr:nvSpPr>
        <xdr:cNvPr id="16" name="TextBox 15">
          <a:extLst>
            <a:ext uri="{FF2B5EF4-FFF2-40B4-BE49-F238E27FC236}">
              <a16:creationId xmlns:a16="http://schemas.microsoft.com/office/drawing/2014/main" id="{C01BFE7B-FD95-BFB0-CCA0-5EF8F910F918}"/>
            </a:ext>
          </a:extLst>
        </xdr:cNvPr>
        <xdr:cNvSpPr txBox="1"/>
      </xdr:nvSpPr>
      <xdr:spPr>
        <a:xfrm>
          <a:off x="915711" y="100781"/>
          <a:ext cx="3197450" cy="341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600" b="1"/>
            <a:t>Hospital Emergency Room Dashboard</a:t>
          </a:r>
          <a:endParaRPr lang="mr-IN" sz="1600" b="1"/>
        </a:p>
      </xdr:txBody>
    </xdr:sp>
    <xdr:clientData/>
  </xdr:twoCellAnchor>
  <xdr:twoCellAnchor editAs="oneCell">
    <xdr:from>
      <xdr:col>0</xdr:col>
      <xdr:colOff>178128</xdr:colOff>
      <xdr:row>0</xdr:row>
      <xdr:rowOff>169363</xdr:rowOff>
    </xdr:from>
    <xdr:to>
      <xdr:col>1</xdr:col>
      <xdr:colOff>73742</xdr:colOff>
      <xdr:row>1</xdr:row>
      <xdr:rowOff>296778</xdr:rowOff>
    </xdr:to>
    <xdr:pic>
      <xdr:nvPicPr>
        <xdr:cNvPr id="24" name="Picture 23">
          <a:extLst>
            <a:ext uri="{FF2B5EF4-FFF2-40B4-BE49-F238E27FC236}">
              <a16:creationId xmlns:a16="http://schemas.microsoft.com/office/drawing/2014/main" id="{DBDB7553-9F0E-78E8-B7D0-E1980F47C4AA}"/>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saturation sat="66000"/>
                  </a14:imgEffect>
                </a14:imgLayer>
              </a14:imgProps>
            </a:ext>
            <a:ext uri="{28A0092B-C50C-407E-A947-70E740481C1C}">
              <a14:useLocalDpi xmlns:a14="http://schemas.microsoft.com/office/drawing/2010/main" val="0"/>
            </a:ext>
          </a:extLst>
        </a:blip>
        <a:stretch>
          <a:fillRect/>
        </a:stretch>
      </xdr:blipFill>
      <xdr:spPr>
        <a:xfrm>
          <a:off x="178128" y="169363"/>
          <a:ext cx="567485" cy="430576"/>
        </a:xfrm>
        <a:prstGeom prst="rect">
          <a:avLst/>
        </a:prstGeom>
      </xdr:spPr>
    </xdr:pic>
    <xdr:clientData/>
  </xdr:twoCellAnchor>
  <xdr:twoCellAnchor editAs="absolute">
    <xdr:from>
      <xdr:col>2</xdr:col>
      <xdr:colOff>495300</xdr:colOff>
      <xdr:row>1</xdr:row>
      <xdr:rowOff>68580</xdr:rowOff>
    </xdr:from>
    <xdr:to>
      <xdr:col>4</xdr:col>
      <xdr:colOff>129540</xdr:colOff>
      <xdr:row>2</xdr:row>
      <xdr:rowOff>7620</xdr:rowOff>
    </xdr:to>
    <xdr:sp macro="" textlink="">
      <xdr:nvSpPr>
        <xdr:cNvPr id="25" name="TextBox 24">
          <a:extLst>
            <a:ext uri="{FF2B5EF4-FFF2-40B4-BE49-F238E27FC236}">
              <a16:creationId xmlns:a16="http://schemas.microsoft.com/office/drawing/2014/main" id="{EB10126C-AD29-422B-B1C5-D6E295C9C1BB}"/>
            </a:ext>
          </a:extLst>
        </xdr:cNvPr>
        <xdr:cNvSpPr txBox="1"/>
      </xdr:nvSpPr>
      <xdr:spPr>
        <a:xfrm>
          <a:off x="1836420" y="373380"/>
          <a:ext cx="9753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a:t>Monthly</a:t>
          </a:r>
          <a:r>
            <a:rPr lang="en-US" sz="1200" baseline="0"/>
            <a:t> Report</a:t>
          </a:r>
          <a:endParaRPr lang="mr-IN" sz="1200"/>
        </a:p>
      </xdr:txBody>
    </xdr:sp>
    <xdr:clientData/>
  </xdr:twoCellAnchor>
  <xdr:twoCellAnchor editAs="absolute">
    <xdr:from>
      <xdr:col>2</xdr:col>
      <xdr:colOff>85458</xdr:colOff>
      <xdr:row>4</xdr:row>
      <xdr:rowOff>70301</xdr:rowOff>
    </xdr:from>
    <xdr:to>
      <xdr:col>3</xdr:col>
      <xdr:colOff>391569</xdr:colOff>
      <xdr:row>5</xdr:row>
      <xdr:rowOff>10980</xdr:rowOff>
    </xdr:to>
    <xdr:sp macro="" textlink="">
      <xdr:nvSpPr>
        <xdr:cNvPr id="26" name="TextBox 25">
          <a:extLst>
            <a:ext uri="{FF2B5EF4-FFF2-40B4-BE49-F238E27FC236}">
              <a16:creationId xmlns:a16="http://schemas.microsoft.com/office/drawing/2014/main" id="{CFD49AB1-739E-4722-8650-47C50741A57E}"/>
            </a:ext>
          </a:extLst>
        </xdr:cNvPr>
        <xdr:cNvSpPr txBox="1"/>
      </xdr:nvSpPr>
      <xdr:spPr>
        <a:xfrm>
          <a:off x="1429200" y="1282946"/>
          <a:ext cx="977982"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a:t>No. of Patient</a:t>
          </a:r>
          <a:endParaRPr lang="mr-IN" sz="1200"/>
        </a:p>
      </xdr:txBody>
    </xdr:sp>
    <xdr:clientData/>
  </xdr:twoCellAnchor>
  <xdr:twoCellAnchor editAs="absolute">
    <xdr:from>
      <xdr:col>2</xdr:col>
      <xdr:colOff>360516</xdr:colOff>
      <xdr:row>3</xdr:row>
      <xdr:rowOff>16551</xdr:rowOff>
    </xdr:from>
    <xdr:to>
      <xdr:col>3</xdr:col>
      <xdr:colOff>92505</xdr:colOff>
      <xdr:row>3</xdr:row>
      <xdr:rowOff>258752</xdr:rowOff>
    </xdr:to>
    <xdr:sp macro="" textlink="'Pivot Report'!A5">
      <xdr:nvSpPr>
        <xdr:cNvPr id="27" name="TextBox 26">
          <a:extLst>
            <a:ext uri="{FF2B5EF4-FFF2-40B4-BE49-F238E27FC236}">
              <a16:creationId xmlns:a16="http://schemas.microsoft.com/office/drawing/2014/main" id="{D7BC8E6A-186B-4C04-BB60-A2F1511FFBD1}"/>
            </a:ext>
          </a:extLst>
        </xdr:cNvPr>
        <xdr:cNvSpPr txBox="1"/>
      </xdr:nvSpPr>
      <xdr:spPr>
        <a:xfrm>
          <a:off x="1704258" y="926035"/>
          <a:ext cx="403860" cy="24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8CA6BD1-4343-4553-B371-E826D78AB0F6}" type="TxLink">
            <a:rPr lang="en-US" sz="1100" b="0" i="0" u="none" strike="noStrike">
              <a:solidFill>
                <a:srgbClr val="000000"/>
              </a:solidFill>
              <a:latin typeface="Mangal"/>
              <a:cs typeface="Mangal"/>
            </a:rPr>
            <a:pPr algn="ctr"/>
            <a:t>519</a:t>
          </a:fld>
          <a:endParaRPr lang="mr-IN" sz="1200"/>
        </a:p>
      </xdr:txBody>
    </xdr:sp>
    <xdr:clientData/>
  </xdr:twoCellAnchor>
  <xdr:twoCellAnchor editAs="absolute">
    <xdr:from>
      <xdr:col>4</xdr:col>
      <xdr:colOff>182060</xdr:colOff>
      <xdr:row>4</xdr:row>
      <xdr:rowOff>78495</xdr:rowOff>
    </xdr:from>
    <xdr:to>
      <xdr:col>6</xdr:col>
      <xdr:colOff>24579</xdr:colOff>
      <xdr:row>5</xdr:row>
      <xdr:rowOff>49162</xdr:rowOff>
    </xdr:to>
    <xdr:sp macro="" textlink="">
      <xdr:nvSpPr>
        <xdr:cNvPr id="28" name="TextBox 27">
          <a:extLst>
            <a:ext uri="{FF2B5EF4-FFF2-40B4-BE49-F238E27FC236}">
              <a16:creationId xmlns:a16="http://schemas.microsoft.com/office/drawing/2014/main" id="{B90F8CC5-DF33-ED64-E349-420B9C484B59}"/>
            </a:ext>
          </a:extLst>
        </xdr:cNvPr>
        <xdr:cNvSpPr txBox="1"/>
      </xdr:nvSpPr>
      <xdr:spPr>
        <a:xfrm>
          <a:off x="2869544" y="1291140"/>
          <a:ext cx="1186261" cy="273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a:t>Average</a:t>
          </a:r>
          <a:r>
            <a:rPr lang="en-US" sz="1200" baseline="0"/>
            <a:t> Wait Time</a:t>
          </a:r>
          <a:endParaRPr lang="mr-IN" sz="1200"/>
        </a:p>
      </xdr:txBody>
    </xdr:sp>
    <xdr:clientData/>
  </xdr:twoCellAnchor>
  <xdr:twoCellAnchor editAs="absolute">
    <xdr:from>
      <xdr:col>4</xdr:col>
      <xdr:colOff>612796</xdr:colOff>
      <xdr:row>3</xdr:row>
      <xdr:rowOff>41131</xdr:rowOff>
    </xdr:from>
    <xdr:to>
      <xdr:col>5</xdr:col>
      <xdr:colOff>344785</xdr:colOff>
      <xdr:row>3</xdr:row>
      <xdr:rowOff>283332</xdr:rowOff>
    </xdr:to>
    <xdr:sp macro="" textlink="'Pivot Report'!A9">
      <xdr:nvSpPr>
        <xdr:cNvPr id="29" name="TextBox 28">
          <a:extLst>
            <a:ext uri="{FF2B5EF4-FFF2-40B4-BE49-F238E27FC236}">
              <a16:creationId xmlns:a16="http://schemas.microsoft.com/office/drawing/2014/main" id="{1D12B6A6-D0D2-6A98-73A7-DB103831EBD6}"/>
            </a:ext>
          </a:extLst>
        </xdr:cNvPr>
        <xdr:cNvSpPr txBox="1"/>
      </xdr:nvSpPr>
      <xdr:spPr>
        <a:xfrm>
          <a:off x="3300280" y="950615"/>
          <a:ext cx="403860" cy="24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D806425-FE0C-45A3-AF49-09B6357A11EB}" type="TxLink">
            <a:rPr lang="en-US" sz="1100" b="0" i="0" u="none" strike="noStrike">
              <a:solidFill>
                <a:srgbClr val="000000"/>
              </a:solidFill>
              <a:latin typeface="Mangal"/>
              <a:cs typeface="Mangal"/>
            </a:rPr>
            <a:t>35.81</a:t>
          </a:fld>
          <a:endParaRPr lang="mr-IN" sz="1200"/>
        </a:p>
      </xdr:txBody>
    </xdr:sp>
    <xdr:clientData/>
  </xdr:twoCellAnchor>
  <xdr:twoCellAnchor editAs="absolute">
    <xdr:from>
      <xdr:col>6</xdr:col>
      <xdr:colOff>403860</xdr:colOff>
      <xdr:row>4</xdr:row>
      <xdr:rowOff>86688</xdr:rowOff>
    </xdr:from>
    <xdr:to>
      <xdr:col>8</xdr:col>
      <xdr:colOff>281940</xdr:colOff>
      <xdr:row>5</xdr:row>
      <xdr:rowOff>49162</xdr:rowOff>
    </xdr:to>
    <xdr:sp macro="" textlink="">
      <xdr:nvSpPr>
        <xdr:cNvPr id="30" name="TextBox 29">
          <a:extLst>
            <a:ext uri="{FF2B5EF4-FFF2-40B4-BE49-F238E27FC236}">
              <a16:creationId xmlns:a16="http://schemas.microsoft.com/office/drawing/2014/main" id="{8D533DC3-3B0A-86B5-0C62-2C5479A8C3F8}"/>
            </a:ext>
          </a:extLst>
        </xdr:cNvPr>
        <xdr:cNvSpPr txBox="1"/>
      </xdr:nvSpPr>
      <xdr:spPr>
        <a:xfrm>
          <a:off x="4435086" y="1299333"/>
          <a:ext cx="1221822" cy="265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aseline="0"/>
            <a:t>Satisfaction Score</a:t>
          </a:r>
          <a:endParaRPr lang="mr-IN" sz="1200"/>
        </a:p>
      </xdr:txBody>
    </xdr:sp>
    <xdr:clientData/>
  </xdr:twoCellAnchor>
  <xdr:twoCellAnchor editAs="oneCell">
    <xdr:from>
      <xdr:col>1</xdr:col>
      <xdr:colOff>612713</xdr:colOff>
      <xdr:row>2</xdr:row>
      <xdr:rowOff>241956</xdr:rowOff>
    </xdr:from>
    <xdr:to>
      <xdr:col>2</xdr:col>
      <xdr:colOff>308773</xdr:colOff>
      <xdr:row>4</xdr:row>
      <xdr:rowOff>1</xdr:rowOff>
    </xdr:to>
    <xdr:pic>
      <xdr:nvPicPr>
        <xdr:cNvPr id="33" name="Graphic 32" descr="User with solid fill">
          <a:extLst>
            <a:ext uri="{FF2B5EF4-FFF2-40B4-BE49-F238E27FC236}">
              <a16:creationId xmlns:a16="http://schemas.microsoft.com/office/drawing/2014/main" id="{1C9FB765-E2F6-66D6-7416-5BED64DCAD9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84584" y="848279"/>
          <a:ext cx="367931" cy="364367"/>
        </a:xfrm>
        <a:prstGeom prst="rect">
          <a:avLst/>
        </a:prstGeom>
      </xdr:spPr>
    </xdr:pic>
    <xdr:clientData/>
  </xdr:twoCellAnchor>
  <xdr:twoCellAnchor editAs="oneCell">
    <xdr:from>
      <xdr:col>4</xdr:col>
      <xdr:colOff>132900</xdr:colOff>
      <xdr:row>2</xdr:row>
      <xdr:rowOff>265962</xdr:rowOff>
    </xdr:from>
    <xdr:to>
      <xdr:col>4</xdr:col>
      <xdr:colOff>483420</xdr:colOff>
      <xdr:row>4</xdr:row>
      <xdr:rowOff>6709</xdr:rowOff>
    </xdr:to>
    <xdr:pic>
      <xdr:nvPicPr>
        <xdr:cNvPr id="48" name="Graphic 47" descr="Stopwatch 66% with solid fill">
          <a:extLst>
            <a:ext uri="{FF2B5EF4-FFF2-40B4-BE49-F238E27FC236}">
              <a16:creationId xmlns:a16="http://schemas.microsoft.com/office/drawing/2014/main" id="{4154D404-10A6-33AF-E5B6-CF9141CAC80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20384" y="872285"/>
          <a:ext cx="350520" cy="347069"/>
        </a:xfrm>
        <a:prstGeom prst="rect">
          <a:avLst/>
        </a:prstGeom>
      </xdr:spPr>
    </xdr:pic>
    <xdr:clientData/>
  </xdr:twoCellAnchor>
  <xdr:twoCellAnchor editAs="oneCell">
    <xdr:from>
      <xdr:col>6</xdr:col>
      <xdr:colOff>325940</xdr:colOff>
      <xdr:row>2</xdr:row>
      <xdr:rowOff>262359</xdr:rowOff>
    </xdr:from>
    <xdr:to>
      <xdr:col>7</xdr:col>
      <xdr:colOff>57354</xdr:colOff>
      <xdr:row>4</xdr:row>
      <xdr:rowOff>56091</xdr:rowOff>
    </xdr:to>
    <xdr:pic>
      <xdr:nvPicPr>
        <xdr:cNvPr id="50" name="Graphic 49" descr="Comment Add with solid fill">
          <a:extLst>
            <a:ext uri="{FF2B5EF4-FFF2-40B4-BE49-F238E27FC236}">
              <a16:creationId xmlns:a16="http://schemas.microsoft.com/office/drawing/2014/main" id="{CCDB9BAC-2020-0001-DBD8-331511664BB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57166" y="868682"/>
          <a:ext cx="403285" cy="400054"/>
        </a:xfrm>
        <a:prstGeom prst="rect">
          <a:avLst/>
        </a:prstGeom>
      </xdr:spPr>
    </xdr:pic>
    <xdr:clientData/>
  </xdr:twoCellAnchor>
  <xdr:twoCellAnchor editAs="oneCell">
    <xdr:from>
      <xdr:col>0</xdr:col>
      <xdr:colOff>167640</xdr:colOff>
      <xdr:row>2</xdr:row>
      <xdr:rowOff>268995</xdr:rowOff>
    </xdr:from>
    <xdr:to>
      <xdr:col>1</xdr:col>
      <xdr:colOff>335280</xdr:colOff>
      <xdr:row>15</xdr:row>
      <xdr:rowOff>200415</xdr:rowOff>
    </xdr:to>
    <mc:AlternateContent xmlns:mc="http://schemas.openxmlformats.org/markup-compatibility/2006">
      <mc:Choice xmlns:a14="http://schemas.microsoft.com/office/drawing/2010/main" Requires="a14">
        <xdr:graphicFrame macro="">
          <xdr:nvGraphicFramePr>
            <xdr:cNvPr id="51" name="Date (Month) 1">
              <a:extLst>
                <a:ext uri="{FF2B5EF4-FFF2-40B4-BE49-F238E27FC236}">
                  <a16:creationId xmlns:a16="http://schemas.microsoft.com/office/drawing/2014/main" id="{F69CAC71-E2F1-400A-8995-1A261A85184B}"/>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167640" y="875318"/>
              <a:ext cx="839511" cy="3872516"/>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396240</xdr:colOff>
      <xdr:row>4</xdr:row>
      <xdr:rowOff>36379</xdr:rowOff>
    </xdr:from>
    <xdr:to>
      <xdr:col>4</xdr:col>
      <xdr:colOff>172064</xdr:colOff>
      <xdr:row>7</xdr:row>
      <xdr:rowOff>173539</xdr:rowOff>
    </xdr:to>
    <xdr:graphicFrame macro="">
      <xdr:nvGraphicFramePr>
        <xdr:cNvPr id="53" name="Chart 52">
          <a:hlinkClick xmlns:r="http://schemas.openxmlformats.org/officeDocument/2006/relationships" r:id="rId9"/>
          <a:extLst>
            <a:ext uri="{FF2B5EF4-FFF2-40B4-BE49-F238E27FC236}">
              <a16:creationId xmlns:a16="http://schemas.microsoft.com/office/drawing/2014/main" id="{2FBEDC20-7C4C-46FA-8324-F943F7E25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1474</xdr:colOff>
      <xdr:row>5</xdr:row>
      <xdr:rowOff>270388</xdr:rowOff>
    </xdr:from>
    <xdr:to>
      <xdr:col>6</xdr:col>
      <xdr:colOff>196645</xdr:colOff>
      <xdr:row>7</xdr:row>
      <xdr:rowOff>96766</xdr:rowOff>
    </xdr:to>
    <xdr:graphicFrame macro="">
      <xdr:nvGraphicFramePr>
        <xdr:cNvPr id="54" name="Chart 53">
          <a:hlinkClick xmlns:r="http://schemas.openxmlformats.org/officeDocument/2006/relationships" r:id="rId11"/>
          <a:extLst>
            <a:ext uri="{FF2B5EF4-FFF2-40B4-BE49-F238E27FC236}">
              <a16:creationId xmlns:a16="http://schemas.microsoft.com/office/drawing/2014/main" id="{B3C5F38D-B076-437A-A1ED-665939475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203445</xdr:colOff>
      <xdr:row>4</xdr:row>
      <xdr:rowOff>180259</xdr:rowOff>
    </xdr:from>
    <xdr:to>
      <xdr:col>8</xdr:col>
      <xdr:colOff>360516</xdr:colOff>
      <xdr:row>7</xdr:row>
      <xdr:rowOff>122903</xdr:rowOff>
    </xdr:to>
    <xdr:graphicFrame macro="">
      <xdr:nvGraphicFramePr>
        <xdr:cNvPr id="55" name="Chart 54">
          <a:hlinkClick xmlns:r="http://schemas.openxmlformats.org/officeDocument/2006/relationships" r:id="rId13"/>
          <a:extLst>
            <a:ext uri="{FF2B5EF4-FFF2-40B4-BE49-F238E27FC236}">
              <a16:creationId xmlns:a16="http://schemas.microsoft.com/office/drawing/2014/main" id="{9840EE34-391F-4C18-B65F-0A1098E3B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533400</xdr:colOff>
      <xdr:row>10</xdr:row>
      <xdr:rowOff>266700</xdr:rowOff>
    </xdr:from>
    <xdr:to>
      <xdr:col>8</xdr:col>
      <xdr:colOff>167640</xdr:colOff>
      <xdr:row>15</xdr:row>
      <xdr:rowOff>38100</xdr:rowOff>
    </xdr:to>
    <xdr:graphicFrame macro="">
      <xdr:nvGraphicFramePr>
        <xdr:cNvPr id="65" name="Chart 64">
          <a:extLst>
            <a:ext uri="{FF2B5EF4-FFF2-40B4-BE49-F238E27FC236}">
              <a16:creationId xmlns:a16="http://schemas.microsoft.com/office/drawing/2014/main" id="{EA5E1F79-FFBA-4099-98EC-CF6D71E98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480060</xdr:colOff>
      <xdr:row>14</xdr:row>
      <xdr:rowOff>243840</xdr:rowOff>
    </xdr:from>
    <xdr:to>
      <xdr:col>6</xdr:col>
      <xdr:colOff>167640</xdr:colOff>
      <xdr:row>15</xdr:row>
      <xdr:rowOff>220980</xdr:rowOff>
    </xdr:to>
    <xdr:sp macro="" textlink="">
      <xdr:nvSpPr>
        <xdr:cNvPr id="66" name="TextBox 65">
          <a:extLst>
            <a:ext uri="{FF2B5EF4-FFF2-40B4-BE49-F238E27FC236}">
              <a16:creationId xmlns:a16="http://schemas.microsoft.com/office/drawing/2014/main" id="{1BB1219B-2140-4482-8107-92B4BB43F708}"/>
            </a:ext>
          </a:extLst>
        </xdr:cNvPr>
        <xdr:cNvSpPr txBox="1"/>
      </xdr:nvSpPr>
      <xdr:spPr>
        <a:xfrm>
          <a:off x="2491740" y="4511040"/>
          <a:ext cx="16992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a:t>No. of Patient by</a:t>
          </a:r>
          <a:r>
            <a:rPr lang="en-US" sz="1200" baseline="0"/>
            <a:t> Age Group</a:t>
          </a:r>
          <a:endParaRPr lang="mr-IN" sz="1200"/>
        </a:p>
      </xdr:txBody>
    </xdr:sp>
    <xdr:clientData/>
  </xdr:twoCellAnchor>
  <xdr:twoCellAnchor>
    <xdr:from>
      <xdr:col>8</xdr:col>
      <xdr:colOff>626888</xdr:colOff>
      <xdr:row>0</xdr:row>
      <xdr:rowOff>108154</xdr:rowOff>
    </xdr:from>
    <xdr:to>
      <xdr:col>11</xdr:col>
      <xdr:colOff>254000</xdr:colOff>
      <xdr:row>5</xdr:row>
      <xdr:rowOff>172064</xdr:rowOff>
    </xdr:to>
    <xdr:graphicFrame macro="">
      <xdr:nvGraphicFramePr>
        <xdr:cNvPr id="67" name="Chart 66">
          <a:extLst>
            <a:ext uri="{FF2B5EF4-FFF2-40B4-BE49-F238E27FC236}">
              <a16:creationId xmlns:a16="http://schemas.microsoft.com/office/drawing/2014/main" id="{2A1C7B41-63EA-4154-9CAC-8F1E1F914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8</xdr:col>
      <xdr:colOff>631804</xdr:colOff>
      <xdr:row>5</xdr:row>
      <xdr:rowOff>152072</xdr:rowOff>
    </xdr:from>
    <xdr:to>
      <xdr:col>11</xdr:col>
      <xdr:colOff>319384</xdr:colOff>
      <xdr:row>6</xdr:row>
      <xdr:rowOff>129211</xdr:rowOff>
    </xdr:to>
    <xdr:sp macro="" textlink="">
      <xdr:nvSpPr>
        <xdr:cNvPr id="68" name="TextBox 67">
          <a:extLst>
            <a:ext uri="{FF2B5EF4-FFF2-40B4-BE49-F238E27FC236}">
              <a16:creationId xmlns:a16="http://schemas.microsoft.com/office/drawing/2014/main" id="{43C94DD5-C55D-4EBB-A8BC-D3FCC43BD03D}"/>
            </a:ext>
          </a:extLst>
        </xdr:cNvPr>
        <xdr:cNvSpPr txBox="1"/>
      </xdr:nvSpPr>
      <xdr:spPr>
        <a:xfrm>
          <a:off x="6006772" y="1667878"/>
          <a:ext cx="1703193" cy="280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a:t>Patient</a:t>
          </a:r>
          <a:r>
            <a:rPr lang="en-US" sz="1200" baseline="0"/>
            <a:t> Attend Status</a:t>
          </a:r>
          <a:endParaRPr lang="mr-IN" sz="1200"/>
        </a:p>
      </xdr:txBody>
    </xdr:sp>
    <xdr:clientData/>
  </xdr:twoCellAnchor>
  <xdr:twoCellAnchor>
    <xdr:from>
      <xdr:col>12</xdr:col>
      <xdr:colOff>65547</xdr:colOff>
      <xdr:row>0</xdr:row>
      <xdr:rowOff>143880</xdr:rowOff>
    </xdr:from>
    <xdr:to>
      <xdr:col>14</xdr:col>
      <xdr:colOff>360516</xdr:colOff>
      <xdr:row>6</xdr:row>
      <xdr:rowOff>0</xdr:rowOff>
    </xdr:to>
    <xdr:graphicFrame macro="">
      <xdr:nvGraphicFramePr>
        <xdr:cNvPr id="69" name="Chart 68">
          <a:extLst>
            <a:ext uri="{FF2B5EF4-FFF2-40B4-BE49-F238E27FC236}">
              <a16:creationId xmlns:a16="http://schemas.microsoft.com/office/drawing/2014/main" id="{CB9AA27F-97E1-4D63-BBFD-6F48D5DBF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12</xdr:col>
      <xdr:colOff>87752</xdr:colOff>
      <xdr:row>5</xdr:row>
      <xdr:rowOff>156989</xdr:rowOff>
    </xdr:from>
    <xdr:to>
      <xdr:col>14</xdr:col>
      <xdr:colOff>447203</xdr:colOff>
      <xdr:row>6</xdr:row>
      <xdr:rowOff>134128</xdr:rowOff>
    </xdr:to>
    <xdr:sp macro="" textlink="">
      <xdr:nvSpPr>
        <xdr:cNvPr id="70" name="TextBox 69">
          <a:extLst>
            <a:ext uri="{FF2B5EF4-FFF2-40B4-BE49-F238E27FC236}">
              <a16:creationId xmlns:a16="http://schemas.microsoft.com/office/drawing/2014/main" id="{FA33A869-894A-4D82-A31F-0AF984AF8978}"/>
            </a:ext>
          </a:extLst>
        </xdr:cNvPr>
        <xdr:cNvSpPr txBox="1"/>
      </xdr:nvSpPr>
      <xdr:spPr>
        <a:xfrm>
          <a:off x="8150204" y="1672795"/>
          <a:ext cx="1703193" cy="280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a:t>Gender</a:t>
          </a:r>
          <a:r>
            <a:rPr lang="en-US" sz="1200" baseline="0"/>
            <a:t> Wise Analysis</a:t>
          </a:r>
          <a:endParaRPr lang="mr-IN" sz="1200"/>
        </a:p>
      </xdr:txBody>
    </xdr:sp>
    <xdr:clientData/>
  </xdr:twoCellAnchor>
  <xdr:twoCellAnchor>
    <xdr:from>
      <xdr:col>8</xdr:col>
      <xdr:colOff>565273</xdr:colOff>
      <xdr:row>7</xdr:row>
      <xdr:rowOff>109301</xdr:rowOff>
    </xdr:from>
    <xdr:to>
      <xdr:col>14</xdr:col>
      <xdr:colOff>647290</xdr:colOff>
      <xdr:row>15</xdr:row>
      <xdr:rowOff>229419</xdr:rowOff>
    </xdr:to>
    <xdr:graphicFrame macro="">
      <xdr:nvGraphicFramePr>
        <xdr:cNvPr id="71" name="Chart 70">
          <a:extLst>
            <a:ext uri="{FF2B5EF4-FFF2-40B4-BE49-F238E27FC236}">
              <a16:creationId xmlns:a16="http://schemas.microsoft.com/office/drawing/2014/main" id="{A37BE460-8A43-41C4-85C9-8A97A55D1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11</xdr:col>
      <xdr:colOff>112332</xdr:colOff>
      <xdr:row>14</xdr:row>
      <xdr:rowOff>107826</xdr:rowOff>
    </xdr:from>
    <xdr:to>
      <xdr:col>14</xdr:col>
      <xdr:colOff>467031</xdr:colOff>
      <xdr:row>15</xdr:row>
      <xdr:rowOff>90129</xdr:rowOff>
    </xdr:to>
    <xdr:sp macro="" textlink="">
      <xdr:nvSpPr>
        <xdr:cNvPr id="72" name="TextBox 71">
          <a:extLst>
            <a:ext uri="{FF2B5EF4-FFF2-40B4-BE49-F238E27FC236}">
              <a16:creationId xmlns:a16="http://schemas.microsoft.com/office/drawing/2014/main" id="{98E233FA-BAAD-4F81-BA1A-E8C1E7FE4E12}"/>
            </a:ext>
          </a:extLst>
        </xdr:cNvPr>
        <xdr:cNvSpPr txBox="1"/>
      </xdr:nvSpPr>
      <xdr:spPr>
        <a:xfrm>
          <a:off x="7502913" y="4352084"/>
          <a:ext cx="2370312" cy="285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a:t>No.</a:t>
          </a:r>
          <a:r>
            <a:rPr lang="en-US" sz="1200" baseline="0"/>
            <a:t> of Patient by Department Referral</a:t>
          </a:r>
          <a:endParaRPr lang="mr-IN" sz="1200"/>
        </a:p>
      </xdr:txBody>
    </xdr:sp>
    <xdr:clientData/>
  </xdr:twoCellAnchor>
  <xdr:twoCellAnchor editAs="oneCell">
    <xdr:from>
      <xdr:col>6</xdr:col>
      <xdr:colOff>344130</xdr:colOff>
      <xdr:row>0</xdr:row>
      <xdr:rowOff>139292</xdr:rowOff>
    </xdr:from>
    <xdr:to>
      <xdr:col>8</xdr:col>
      <xdr:colOff>280414</xdr:colOff>
      <xdr:row>2</xdr:row>
      <xdr:rowOff>969</xdr:rowOff>
    </xdr:to>
    <mc:AlternateContent xmlns:mc="http://schemas.openxmlformats.org/markup-compatibility/2006">
      <mc:Choice xmlns:a14="http://schemas.microsoft.com/office/drawing/2010/main" Requires="a14">
        <xdr:graphicFrame macro="">
          <xdr:nvGraphicFramePr>
            <xdr:cNvPr id="73" name="Date (Year) 1">
              <a:extLst>
                <a:ext uri="{FF2B5EF4-FFF2-40B4-BE49-F238E27FC236}">
                  <a16:creationId xmlns:a16="http://schemas.microsoft.com/office/drawing/2014/main" id="{789C4875-C2DE-4C15-95A7-CEB24F5BA281}"/>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4375356" y="139292"/>
              <a:ext cx="1280026" cy="468000"/>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516194</xdr:colOff>
          <xdr:row>7</xdr:row>
          <xdr:rowOff>139290</xdr:rowOff>
        </xdr:from>
        <xdr:to>
          <xdr:col>8</xdr:col>
          <xdr:colOff>401483</xdr:colOff>
          <xdr:row>10</xdr:row>
          <xdr:rowOff>196644</xdr:rowOff>
        </xdr:to>
        <xdr:pic>
          <xdr:nvPicPr>
            <xdr:cNvPr id="78" name="Picture 77">
              <a:extLst>
                <a:ext uri="{FF2B5EF4-FFF2-40B4-BE49-F238E27FC236}">
                  <a16:creationId xmlns:a16="http://schemas.microsoft.com/office/drawing/2014/main" id="{95DDC1A6-837C-6840-5F9A-679B2E96FE18}"/>
                </a:ext>
              </a:extLst>
            </xdr:cNvPr>
            <xdr:cNvPicPr>
              <a:picLocks noChangeAspect="1" noChangeArrowheads="1"/>
              <a:extLst>
                <a:ext uri="{84589F7E-364E-4C9E-8A38-B11213B215E9}">
                  <a14:cameraTool cellRange="'Pivot Report'!$A$43:$D$45" spid="_x0000_s2068"/>
                </a:ext>
              </a:extLst>
            </xdr:cNvPicPr>
          </xdr:nvPicPr>
          <xdr:blipFill>
            <a:blip xmlns:r="http://schemas.openxmlformats.org/officeDocument/2006/relationships" r:embed="rId19"/>
            <a:srcRect/>
            <a:stretch>
              <a:fillRect/>
            </a:stretch>
          </xdr:blipFill>
          <xdr:spPr bwMode="auto">
            <a:xfrm>
              <a:off x="1188065" y="2261419"/>
              <a:ext cx="4588386" cy="96683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7</xdr:col>
      <xdr:colOff>134292</xdr:colOff>
      <xdr:row>3</xdr:row>
      <xdr:rowOff>46046</xdr:rowOff>
    </xdr:from>
    <xdr:to>
      <xdr:col>7</xdr:col>
      <xdr:colOff>538152</xdr:colOff>
      <xdr:row>3</xdr:row>
      <xdr:rowOff>288247</xdr:rowOff>
    </xdr:to>
    <xdr:sp macro="" textlink="'Pivot Report'!A13">
      <xdr:nvSpPr>
        <xdr:cNvPr id="79" name="TextBox 78">
          <a:extLst>
            <a:ext uri="{FF2B5EF4-FFF2-40B4-BE49-F238E27FC236}">
              <a16:creationId xmlns:a16="http://schemas.microsoft.com/office/drawing/2014/main" id="{FDA9D306-528F-4FC1-B58D-A0DA08555F8D}"/>
            </a:ext>
          </a:extLst>
        </xdr:cNvPr>
        <xdr:cNvSpPr txBox="1"/>
      </xdr:nvSpPr>
      <xdr:spPr>
        <a:xfrm>
          <a:off x="4837389" y="955530"/>
          <a:ext cx="403860" cy="24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719E678-2AA9-453B-821A-4EA4A6257EFE}" type="TxLink">
            <a:rPr lang="en-US" sz="1100" b="0" i="0" u="none" strike="noStrike">
              <a:solidFill>
                <a:srgbClr val="000000"/>
              </a:solidFill>
              <a:latin typeface="Mangal"/>
              <a:cs typeface="Mangal"/>
            </a:rPr>
            <a:t>5.15</a:t>
          </a:fld>
          <a:endParaRPr lang="mr-IN" sz="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76200</xdr:colOff>
      <xdr:row>2</xdr:row>
      <xdr:rowOff>68580</xdr:rowOff>
    </xdr:from>
    <xdr:to>
      <xdr:col>16</xdr:col>
      <xdr:colOff>60960</xdr:colOff>
      <xdr:row>15</xdr:row>
      <xdr:rowOff>45720</xdr:rowOff>
    </xdr:to>
    <xdr:graphicFrame macro="">
      <xdr:nvGraphicFramePr>
        <xdr:cNvPr id="2" name="Chart 1">
          <a:extLst>
            <a:ext uri="{FF2B5EF4-FFF2-40B4-BE49-F238E27FC236}">
              <a16:creationId xmlns:a16="http://schemas.microsoft.com/office/drawing/2014/main" id="{647EC786-6F81-4666-AADC-75BF0F667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358140</xdr:colOff>
      <xdr:row>0</xdr:row>
      <xdr:rowOff>182880</xdr:rowOff>
    </xdr:from>
    <xdr:to>
      <xdr:col>12</xdr:col>
      <xdr:colOff>609600</xdr:colOff>
      <xdr:row>1</xdr:row>
      <xdr:rowOff>238080</xdr:rowOff>
    </xdr:to>
    <xdr:sp macro="" textlink="">
      <xdr:nvSpPr>
        <xdr:cNvPr id="3" name="TextBox 2">
          <a:extLst>
            <a:ext uri="{FF2B5EF4-FFF2-40B4-BE49-F238E27FC236}">
              <a16:creationId xmlns:a16="http://schemas.microsoft.com/office/drawing/2014/main" id="{A39B9D08-397C-BD2D-5F49-969F8DA89C58}"/>
            </a:ext>
          </a:extLst>
        </xdr:cNvPr>
        <xdr:cNvSpPr txBox="1"/>
      </xdr:nvSpPr>
      <xdr:spPr>
        <a:xfrm>
          <a:off x="3040380" y="182880"/>
          <a:ext cx="5615940" cy="3600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Showing a daily trend with an area chart to spot patterns like busy days</a:t>
          </a:r>
          <a:r>
            <a:rPr lang="en-US" sz="1200" baseline="0"/>
            <a:t> or seasonal trends.</a:t>
          </a:r>
          <a:endParaRPr lang="mr-IN" sz="1200"/>
        </a:p>
      </xdr:txBody>
    </xdr:sp>
    <xdr:clientData/>
  </xdr:twoCellAnchor>
  <xdr:twoCellAnchor editAs="oneCell">
    <xdr:from>
      <xdr:col>0</xdr:col>
      <xdr:colOff>106680</xdr:colOff>
      <xdr:row>0</xdr:row>
      <xdr:rowOff>60960</xdr:rowOff>
    </xdr:from>
    <xdr:to>
      <xdr:col>0</xdr:col>
      <xdr:colOff>403860</xdr:colOff>
      <xdr:row>1</xdr:row>
      <xdr:rowOff>53340</xdr:rowOff>
    </xdr:to>
    <xdr:pic>
      <xdr:nvPicPr>
        <xdr:cNvPr id="5" name="Graphic 4" descr="House with solid fill">
          <a:hlinkClick xmlns:r="http://schemas.openxmlformats.org/officeDocument/2006/relationships" r:id="rId2"/>
          <a:extLst>
            <a:ext uri="{FF2B5EF4-FFF2-40B4-BE49-F238E27FC236}">
              <a16:creationId xmlns:a16="http://schemas.microsoft.com/office/drawing/2014/main" id="{C2362833-C98E-A28A-87F0-46A328E31E6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6680" y="60960"/>
          <a:ext cx="297180" cy="2971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68580</xdr:colOff>
      <xdr:row>1</xdr:row>
      <xdr:rowOff>259080</xdr:rowOff>
    </xdr:from>
    <xdr:to>
      <xdr:col>16</xdr:col>
      <xdr:colOff>30480</xdr:colOff>
      <xdr:row>15</xdr:row>
      <xdr:rowOff>76200</xdr:rowOff>
    </xdr:to>
    <xdr:graphicFrame macro="">
      <xdr:nvGraphicFramePr>
        <xdr:cNvPr id="2" name="Chart 1">
          <a:extLst>
            <a:ext uri="{FF2B5EF4-FFF2-40B4-BE49-F238E27FC236}">
              <a16:creationId xmlns:a16="http://schemas.microsoft.com/office/drawing/2014/main" id="{E813EB65-B249-4413-864B-3DD0B5391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190500</xdr:colOff>
      <xdr:row>0</xdr:row>
      <xdr:rowOff>106680</xdr:rowOff>
    </xdr:from>
    <xdr:to>
      <xdr:col>12</xdr:col>
      <xdr:colOff>167640</xdr:colOff>
      <xdr:row>1</xdr:row>
      <xdr:rowOff>161880</xdr:rowOff>
    </xdr:to>
    <xdr:sp macro="" textlink="">
      <xdr:nvSpPr>
        <xdr:cNvPr id="3" name="TextBox 2">
          <a:extLst>
            <a:ext uri="{FF2B5EF4-FFF2-40B4-BE49-F238E27FC236}">
              <a16:creationId xmlns:a16="http://schemas.microsoft.com/office/drawing/2014/main" id="{DA42E753-1AB6-4737-878B-412A067E1EAC}"/>
            </a:ext>
          </a:extLst>
        </xdr:cNvPr>
        <xdr:cNvSpPr txBox="1"/>
      </xdr:nvSpPr>
      <xdr:spPr>
        <a:xfrm>
          <a:off x="3543300" y="106680"/>
          <a:ext cx="4671060" cy="3600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Area</a:t>
          </a:r>
          <a:r>
            <a:rPr lang="en-US" sz="1200" baseline="0"/>
            <a:t> chart to track daily changes and highlight days with longer wait times.</a:t>
          </a:r>
          <a:endParaRPr lang="mr-IN" sz="1200"/>
        </a:p>
      </xdr:txBody>
    </xdr:sp>
    <xdr:clientData/>
  </xdr:twoCellAnchor>
  <xdr:twoCellAnchor editAs="oneCell">
    <xdr:from>
      <xdr:col>0</xdr:col>
      <xdr:colOff>68580</xdr:colOff>
      <xdr:row>0</xdr:row>
      <xdr:rowOff>60960</xdr:rowOff>
    </xdr:from>
    <xdr:to>
      <xdr:col>0</xdr:col>
      <xdr:colOff>365760</xdr:colOff>
      <xdr:row>1</xdr:row>
      <xdr:rowOff>53340</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33AA394A-C7F6-4040-AE7D-42CD125F7D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 y="60960"/>
          <a:ext cx="297180" cy="2971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624840</xdr:colOff>
      <xdr:row>0</xdr:row>
      <xdr:rowOff>152400</xdr:rowOff>
    </xdr:from>
    <xdr:to>
      <xdr:col>10</xdr:col>
      <xdr:colOff>586740</xdr:colOff>
      <xdr:row>1</xdr:row>
      <xdr:rowOff>207600</xdr:rowOff>
    </xdr:to>
    <xdr:sp macro="" textlink="">
      <xdr:nvSpPr>
        <xdr:cNvPr id="3" name="TextBox 2">
          <a:extLst>
            <a:ext uri="{FF2B5EF4-FFF2-40B4-BE49-F238E27FC236}">
              <a16:creationId xmlns:a16="http://schemas.microsoft.com/office/drawing/2014/main" id="{CF9529EC-3D52-46DA-BCFF-51671778BEAA}"/>
            </a:ext>
          </a:extLst>
        </xdr:cNvPr>
        <xdr:cNvSpPr txBox="1"/>
      </xdr:nvSpPr>
      <xdr:spPr>
        <a:xfrm>
          <a:off x="3977640" y="152400"/>
          <a:ext cx="3314700" cy="3600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Area</a:t>
          </a:r>
          <a:r>
            <a:rPr lang="en-US" sz="1200" baseline="0"/>
            <a:t> chart to show trend, spot drops in satisfaction.</a:t>
          </a:r>
          <a:endParaRPr lang="mr-IN" sz="1200"/>
        </a:p>
      </xdr:txBody>
    </xdr:sp>
    <xdr:clientData/>
  </xdr:twoCellAnchor>
  <xdr:twoCellAnchor editAs="oneCell">
    <xdr:from>
      <xdr:col>0</xdr:col>
      <xdr:colOff>76200</xdr:colOff>
      <xdr:row>0</xdr:row>
      <xdr:rowOff>45720</xdr:rowOff>
    </xdr:from>
    <xdr:to>
      <xdr:col>0</xdr:col>
      <xdr:colOff>373380</xdr:colOff>
      <xdr:row>1</xdr:row>
      <xdr:rowOff>38100</xdr:rowOff>
    </xdr:to>
    <xdr:pic>
      <xdr:nvPicPr>
        <xdr:cNvPr id="4" name="Graphic 3" descr="House with solid fill">
          <a:hlinkClick xmlns:r="http://schemas.openxmlformats.org/officeDocument/2006/relationships" r:id="rId1"/>
          <a:extLst>
            <a:ext uri="{FF2B5EF4-FFF2-40B4-BE49-F238E27FC236}">
              <a16:creationId xmlns:a16="http://schemas.microsoft.com/office/drawing/2014/main" id="{9F35C2B2-6EF1-4464-95EB-73F521F47EA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6200" y="45720"/>
          <a:ext cx="297180" cy="297180"/>
        </a:xfrm>
        <a:prstGeom prst="rect">
          <a:avLst/>
        </a:prstGeom>
      </xdr:spPr>
    </xdr:pic>
    <xdr:clientData/>
  </xdr:twoCellAnchor>
  <xdr:twoCellAnchor>
    <xdr:from>
      <xdr:col>1</xdr:col>
      <xdr:colOff>38100</xdr:colOff>
      <xdr:row>2</xdr:row>
      <xdr:rowOff>91440</xdr:rowOff>
    </xdr:from>
    <xdr:to>
      <xdr:col>16</xdr:col>
      <xdr:colOff>15240</xdr:colOff>
      <xdr:row>15</xdr:row>
      <xdr:rowOff>137160</xdr:rowOff>
    </xdr:to>
    <xdr:graphicFrame macro="">
      <xdr:nvGraphicFramePr>
        <xdr:cNvPr id="5" name="Chart 4">
          <a:extLst>
            <a:ext uri="{FF2B5EF4-FFF2-40B4-BE49-F238E27FC236}">
              <a16:creationId xmlns:a16="http://schemas.microsoft.com/office/drawing/2014/main" id="{8D0BA679-35B6-45BB-9151-35C038D80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4.853704398149" createdVersion="5" refreshedVersion="8" minRefreshableVersion="3" recordCount="0" supportSubquery="1" supportAdvancedDrill="1" xr:uid="{CAEBABF7-0DCE-4AEE-A401-8B83CB28C87D}">
  <cacheSource type="external" connectionId="3"/>
  <cacheFields count="4">
    <cacheField name="[Measures].[Distinct Count of Patient Id]" caption="Distinct Count of Patient Id" numFmtId="0" hierarchy="24" level="32767"/>
    <cacheField name="[Calendar 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2"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4.853704976849" createdVersion="5" refreshedVersion="8" minRefreshableVersion="3" recordCount="0" supportSubquery="1" supportAdvancedDrill="1" xr:uid="{6D39BDCA-C3E0-4E7A-A0CD-0D7AF409E349}">
  <cacheSource type="external" connectionId="3"/>
  <cacheFields count="3">
    <cacheField name="[Measures].[Distinct Count of Patient Id]" caption="Distinct Count of Patient Id" numFmtId="0" hierarchy="24"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4.853705092595" createdVersion="5" refreshedVersion="8" minRefreshableVersion="3" recordCount="0" supportSubquery="1" supportAdvancedDrill="1" xr:uid="{A99CD58C-ED1F-48B0-91B2-D1A99F9003EC}">
  <cacheSource type="external" connectionId="3"/>
  <cacheFields count="3">
    <cacheField name="[Measures].[Average of Patient Waittime]" caption="Average of Patient Waittime" numFmtId="0" hierarchy="26"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4.853705787034" createdVersion="5" refreshedVersion="8" minRefreshableVersion="3" recordCount="0" supportSubquery="1" supportAdvancedDrill="1" xr:uid="{080B3DC1-96E4-4167-9BF2-AB4154244D61}">
  <cacheSource type="external" connectionId="3"/>
  <cacheFields count="5">
    <cacheField name="[Calendar 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ar 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4.853706481481" createdVersion="5" refreshedVersion="8" minRefreshableVersion="3" recordCount="0" supportSubquery="1" supportAdvancedDrill="1" xr:uid="{235B933B-1824-48C4-9A0A-F7198957828E}">
  <cacheSource type="external" connectionId="3"/>
  <cacheFields count="4">
    <cacheField name="[Calendar 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4.853707175927" createdVersion="5" refreshedVersion="8" minRefreshableVersion="3" recordCount="0" supportSubquery="1" supportAdvancedDrill="1" xr:uid="{7D010ECB-FCDF-4073-AB9E-2AD76E12AD2D}">
  <cacheSource type="external" connectionId="3"/>
  <cacheFields count="4">
    <cacheField name="[Calendar 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4.853707638889" createdVersion="5" refreshedVersion="8" minRefreshableVersion="3" recordCount="0" supportSubquery="1" supportAdvancedDrill="1" xr:uid="{434FF1FA-8FDD-4003-A658-8D3635EF0648}">
  <cacheSource type="external" connectionId="3"/>
  <cacheFields count="4">
    <cacheField name="[Calendar Table].[Date (Month)].[Date (Month)]" caption="Date (Month)" numFmtId="0" hierarchy="1" level="1">
      <sharedItems containsSemiMixedTypes="0" containsNonDate="0" containsString="0"/>
    </cacheField>
    <cacheField name="[Measures].[Count of Age Group]" caption="Count of Age Group" numFmtId="0" hierarchy="31" level="32767"/>
    <cacheField name="[Hospital Emergency Room Data].[Age Group].[Age Group]" caption="Age Group" numFmtId="0" hierarchy="16" level="1">
      <sharedItems count="8">
        <s v="0-09"/>
        <s v="10-19"/>
        <s v="20-29"/>
        <s v="30-39"/>
        <s v="40-49"/>
        <s v="50-59"/>
        <s v="60-69"/>
        <s v="70-79"/>
      </sharedItems>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4.85370821759" createdVersion="5" refreshedVersion="8" minRefreshableVersion="3" recordCount="0" supportSubquery="1" supportAdvancedDrill="1" xr:uid="{0CF18887-E6E0-4A0B-8B1F-4A8ABC2DD349}">
  <cacheSource type="external" connectionId="3"/>
  <cacheFields count="4">
    <cacheField name="[Calendar 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4.853708796298" createdVersion="5" refreshedVersion="8" minRefreshableVersion="3" recordCount="0" supportSubquery="1" supportAdvancedDrill="1" xr:uid="{FF884939-B4C9-4158-8F9B-D763CAD52C3D}">
  <cacheSource type="external" connectionId="3"/>
  <cacheFields count="4">
    <cacheField name="[Calendar Table].[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Patient Gender].[Patient Gender]" caption="Patient Gender" numFmtId="0" hierarchy="9" level="1">
      <sharedItems count="2">
        <s v="Female"/>
        <s v="Male"/>
      </sharedItems>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4.853709374998" createdVersion="5" refreshedVersion="8" minRefreshableVersion="3" recordCount="0" supportSubquery="1" supportAdvancedDrill="1" xr:uid="{2369CCA5-2CD9-48A4-A3EF-6C781F45B631}">
  <cacheSource type="external" connectionId="3"/>
  <cacheFields count="4">
    <cacheField name="[Calendar Table].[Date (Month)].[Date (Month)]" caption="Date (Month)" numFmtId="0" hierarchy="1" level="1">
      <sharedItems containsSemiMixedTypes="0" containsNonDate="0" containsString="0"/>
    </cacheField>
    <cacheField name="[Measures].[Count of Department Referral]" caption="Count of Department Referral" numFmtId="0" hierarchy="3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4.85370983796" createdVersion="5" refreshedVersion="8" minRefreshableVersion="3" recordCount="0" supportSubquery="1" supportAdvancedDrill="1" xr:uid="{99587F4F-249A-47CD-8B4C-AE6AD291808E}">
  <cacheSource type="external" connectionId="3"/>
  <cacheFields count="4">
    <cacheField name="[Calendar Table].[Date (Month)].[Date (Month)]" caption="Date (Month)" numFmtId="0" hierarchy="1" level="1">
      <sharedItems count="1">
        <s v="Jan"/>
      </sharedItems>
    </cacheField>
    <cacheField name="[Calendar 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 Table].[Date (Quarter)].[Date (Quarter)]" caption="Date (Quarter)" numFmtId="0" hierarchy="4" level="1">
      <sharedItems count="1">
        <s v="Qtr1"/>
      </sharedItems>
    </cacheField>
    <cacheField name="[Calendar Table].[Date (Year)].[Date (Year)]" caption="Date (Year)" numFmtId="0" hierarchy="3" level="1">
      <sharedItems count="1">
        <s v="2024"/>
      </sharedItems>
    </cacheField>
  </cacheFields>
  <cacheHierarchies count="34">
    <cacheHierarchy uniqueName="[Calendar Table].[Date]" caption="Date" attribute="1" time="1" defaultMemberUniqueName="[Calendar Table].[Date].[All]" allUniqueName="[Calendar Table].[Date].[All]" dimensionUniqueName="[Calendar Table]" displayFolder="" count="2" memberValueDatatype="7" unbalanced="0">
      <fieldsUsage count="2">
        <fieldUsage x="-1"/>
        <fieldUsage x="1"/>
      </fieldsUsage>
    </cacheHierarchy>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4.853710300929" createdVersion="5" refreshedVersion="8" minRefreshableVersion="3" recordCount="0" supportSubquery="1" supportAdvancedDrill="1" xr:uid="{ECF59AE8-D3A2-4867-A29F-8DC140363204}">
  <cacheSource type="external" connectionId="3"/>
  <cacheFields count="3">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 name="[Measures].[Average of Patient Satisfaction Score]" caption="Average of Patient Satisfaction Score" numFmtId="0" hierarchy="28" level="32767"/>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1"/>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4.763915856478" createdVersion="3" refreshedVersion="8" minRefreshableVersion="3" recordCount="0" supportSubquery="1" supportAdvancedDrill="1" xr:uid="{0776C237-A6EB-43F0-B801-30A56096A0E7}">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17774399"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4.764790277775" createdVersion="3" refreshedVersion="8" minRefreshableVersion="3" recordCount="0" supportSubquery="1" supportAdvancedDrill="1" xr:uid="{780962C3-2227-4ABF-A15C-CC589E9915A2}">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726343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249F2A-4236-45CE-A285-09186FA7D5B0}" name="PivotTable16" cacheId="1654" applyNumberFormats="0" applyBorderFormats="0" applyFontFormats="0" applyPatternFormats="0" applyAlignmentFormats="0" applyWidthHeightFormats="1" dataCaption="Values" tag="1c863a8f-1eea-418c-9ed4-e9491c39451d" updatedVersion="8" minRefreshableVersion="3" subtotalHiddenItems="1" itemPrintTitles="1" createdVersion="5" indent="0" outline="1" outlineData="1" multipleFieldFilters="0">
  <location ref="A12:A13" firstHeaderRow="1" firstDataRow="1" firstDataCol="0"/>
  <pivotFields count="3">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Items count="1">
    <i/>
  </rowItems>
  <colItems count="1">
    <i/>
  </colItems>
  <dataFields count="1">
    <dataField name="Average of Patient Satisfaction Score" fld="2" subtotal="average" baseField="0" baseItem="0"/>
  </dataFields>
  <formats count="1">
    <format dxfId="69">
      <pivotArea outline="0" collapsedLevelsAreSubtotals="1" fieldPosition="0"/>
    </format>
  </formats>
  <pivotHierarchies count="34">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B8E608-2283-4D54-BD88-D4BD84297D24}" name="PivotTable15" cacheId="1651" applyNumberFormats="0" applyBorderFormats="0" applyFontFormats="0" applyPatternFormats="0" applyAlignmentFormats="0" applyWidthHeightFormats="1" dataCaption="Values" tag="1ec4ab89-1ff7-4115-b736-8f95722d02a1" updatedVersion="8" minRefreshableVersion="3" subtotalHiddenItems="1" itemPrintTitles="1" createdVersion="5" indent="0" outline="1" outlineData="1" multipleFieldFilters="0" chartFormat="17">
  <location ref="A60:A62"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efaultSubtotal="0">
      <items count="1">
        <item s="1" x="0" e="0"/>
      </items>
    </pivotField>
  </pivotFields>
  <rowFields count="4">
    <field x="3"/>
    <field x="2"/>
    <field x="0"/>
    <field x="1"/>
  </rowFields>
  <rowItems count="2">
    <i>
      <x/>
    </i>
    <i t="grand">
      <x/>
    </i>
  </rowItems>
  <formats count="1">
    <format dxfId="99">
      <pivotArea outline="0" collapsedLevelsAreSubtotals="1" fieldPosition="0"/>
    </format>
  </formats>
  <pivotHierarchies count="34">
    <pivotHierarchy dragToData="1"/>
    <pivotHierarchy multipleItemSelectionAllowed="1" dragToData="1">
      <members count="1" level="1">
        <member name="[Calendar 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934FEB-BE00-454E-9B31-9EDAEAF21C6D}" name="PivotTable13" cacheId="1648" applyNumberFormats="0" applyBorderFormats="0" applyFontFormats="0" applyPatternFormats="0" applyAlignmentFormats="0" applyWidthHeightFormats="1" dataCaption="Values" tag="148dfe5c-2c9b-4819-b530-fa3a1efe4a04" updatedVersion="8" minRefreshableVersion="3" subtotalHiddenItems="1" itemPrintTitles="1" createdVersion="5" indent="0" outline="1" outlineData="1" multipleFieldFilters="0" chartFormat="19">
  <location ref="G51:H6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1"/>
    </i>
    <i>
      <x/>
    </i>
    <i>
      <x v="6"/>
    </i>
    <i>
      <x v="3"/>
    </i>
    <i>
      <x v="5"/>
    </i>
    <i>
      <x v="2"/>
    </i>
    <i>
      <x v="4"/>
    </i>
    <i t="grand">
      <x/>
    </i>
  </rowItems>
  <colItems count="1">
    <i/>
  </colItems>
  <dataFields count="1">
    <dataField name="Count of Department Referral" fld="1" subtotal="count" baseField="0" baseItem="0"/>
  </dataFields>
  <formats count="1">
    <format dxfId="98">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522AB4-5653-42EE-824E-C00347C5C127}" name="PivotTable12" cacheId="1645" applyNumberFormats="0" applyBorderFormats="0" applyFontFormats="0" applyPatternFormats="0" applyAlignmentFormats="0" applyWidthHeightFormats="1" dataCaption="Values" tag="c374cafd-4ab1-4b04-9682-d923bb4f14aa" updatedVersion="8" minRefreshableVersion="3" subtotalHiddenItems="1" itemPrintTitles="1" createdVersion="5" indent="0" outline="1" outlineData="1" multipleFieldFilters="0" chartFormat="14">
  <location ref="D54:E5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97">
      <pivotArea outline="0" collapsedLevelsAreSubtotals="1" fieldPosition="0"/>
    </format>
  </format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2" count="1" selected="0">
            <x v="0"/>
          </reference>
        </references>
      </pivotArea>
    </chartFormat>
    <chartFormat chart="13"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387622-58EC-4A10-BEFC-774B4448C1C5}" name="PivotTable11" cacheId="1642" applyNumberFormats="0" applyBorderFormats="0" applyFontFormats="0" applyPatternFormats="0" applyAlignmentFormats="0" applyWidthHeightFormats="1" dataCaption="Values" tag="bf1f3ce1-ed17-4ab9-849a-11283565760b" updatedVersion="8" minRefreshableVersion="3" subtotalHiddenItems="1" itemPrintTitles="1" createdVersion="5" indent="0" outline="1" outlineData="1" multipleFieldFilters="0" chartFormat="9">
  <location ref="D48:E5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96">
      <pivotArea outline="0" collapsedLevelsAreSubtotals="1" fieldPosition="0"/>
    </format>
  </format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25623D-4989-47B9-9040-6E88673EF226}" name="PivotTable10" cacheId="1639" applyNumberFormats="0" applyBorderFormats="0" applyFontFormats="0" applyPatternFormats="0" applyAlignmentFormats="0" applyWidthHeightFormats="1" dataCaption="Values" tag="c085c3c5-ffa4-43dc-a647-2e8dfb4c6c8e" updatedVersion="8" minRefreshableVersion="3" subtotalHiddenItems="1" itemPrintTitles="1" createdVersion="5" indent="0" outline="1" outlineData="1" multipleFieldFilters="0" chartFormat="5">
  <location ref="A48:B5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numFmtId="1"/>
  </dataFields>
  <formats count="1">
    <format dxfId="95">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3E7FC0-59CE-490C-9E5F-694C4122517A}" name="PivotTable9" cacheId="1636" applyNumberFormats="0" applyBorderFormats="0" applyFontFormats="0" applyPatternFormats="0" applyAlignmentFormats="0" applyWidthHeightFormats="1" dataCaption="Values" tag="a7aac428-dd20-4371-b719-5c7025261914" updatedVersion="8" minRefreshableVersion="3" subtotalHiddenItems="1" itemPrintTitles="1" createdVersion="5" indent="0" outline="1" outlineData="1" multipleFieldFilters="0" chartFormat="28">
  <location ref="M4:N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94">
      <pivotArea outline="0" collapsedLevelsAreSubtotals="1" fieldPosition="0"/>
    </format>
  </formats>
  <chartFormats count="3">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5A045A-A0D4-4979-BAA8-80A5D2CE685E}" name="PivotTable8" cacheId="1633" applyNumberFormats="0" applyBorderFormats="0" applyFontFormats="0" applyPatternFormats="0" applyAlignmentFormats="0" applyWidthHeightFormats="1" dataCaption="Values" tag="54ec3503-b9d5-43ab-88b7-0e7ab764962d" updatedVersion="8" minRefreshableVersion="3" subtotalHiddenItems="1" itemPrintTitles="1" createdVersion="5" indent="0" outline="1" outlineData="1" multipleFieldFilters="0" chartFormat="22">
  <location ref="I4:J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93">
      <pivotArea outline="0" collapsedLevelsAreSubtotals="1" fieldPosition="0"/>
    </format>
  </formats>
  <chartFormats count="2">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9FAFF0-FDD7-4F35-A713-0C628FCD989B}" name="PivotTable7" cacheId="1621" applyNumberFormats="0" applyBorderFormats="0" applyFontFormats="0" applyPatternFormats="0" applyAlignmentFormats="0" applyWidthHeightFormats="1" dataCaption="Values" tag="f2fea0d3-7f0a-4049-8092-01f2e1da386a" updatedVersion="8" minRefreshableVersion="3" subtotalHiddenItems="1" itemPrintTitles="1" createdVersion="5" indent="0" outline="1" outlineData="1" multipleFieldFilters="0" chartFormat="14">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1" format="1"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BA12B5-CD96-4F3C-8308-DDE801A68A4E}" name="PivotTable3" cacheId="1630" applyNumberFormats="0" applyBorderFormats="0" applyFontFormats="0" applyPatternFormats="0" applyAlignmentFormats="0" applyWidthHeightFormats="1" dataCaption="Values" tag="014a2f23-a7bb-46cd-a4a1-2d1ef868b7d1" updatedVersion="8" minRefreshableVersion="3" subtotalHiddenItems="1" itemPrintTitles="1" createdVersion="5" indent="0" outline="1" outlineData="1" multipleFieldFilters="0" chartFormat="2">
  <location ref="A38:C4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91">
      <pivotArea outline="0" collapsedLevelsAreSubtotals="1" fieldPosition="0"/>
    </format>
    <format dxfId="92">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02F703-66C2-469C-88B7-BEBFE7E418A6}" name="PivotTable2" cacheId="1627" applyNumberFormats="0" applyBorderFormats="0" applyFontFormats="0" applyPatternFormats="0" applyAlignmentFormats="0" applyWidthHeightFormats="1" dataCaption="Values" tag="8df7bd13-d584-44e6-a5d8-5c65d24c6042"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0">
      <pivotArea outline="0" collapsedLevelsAreSubtotals="1" fieldPosition="0"/>
    </format>
  </formats>
  <pivotHierarchies count="34">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1418CB-043D-4ACE-9F26-46BB725C83DD}" name="PivotTable1" cacheId="1624" applyNumberFormats="0" applyBorderFormats="0" applyFontFormats="0" applyPatternFormats="0" applyAlignmentFormats="0" applyWidthHeightFormats="1" dataCaption="Values" tag="94c3dfd3-2486-4942-a4d8-4d48b6c04988"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D27A46F-9674-4D4C-95C4-874A51B00E67}" sourceName="[Calendar Table].[Date (Year)]">
  <pivotTables>
    <pivotTable tabId="1" name="PivotTable15"/>
    <pivotTable tabId="1" name="PivotTable1"/>
    <pivotTable tabId="1" name="PivotTable10"/>
    <pivotTable tabId="1" name="PivotTable11"/>
    <pivotTable tabId="1" name="PivotTable12"/>
    <pivotTable tabId="1" name="PivotTable13"/>
    <pivotTable tabId="1" name="PivotTable2"/>
    <pivotTable tabId="1" name="PivotTable3"/>
    <pivotTable tabId="1" name="PivotTable7"/>
    <pivotTable tabId="1" name="PivotTable8"/>
    <pivotTable tabId="1" name="PivotTable9"/>
    <pivotTable tabId="1" name="PivotTable16"/>
  </pivotTables>
  <data>
    <olap pivotCacheId="2072634346">
      <levels count="2">
        <level uniqueName="[Calendar Table].[Date (Year)].[(All)]" sourceCaption="(All)" count="0"/>
        <level uniqueName="[Calendar Table].[Date (Year)].[Date (Year)]" sourceCaption="Date (Year)" count="2">
          <ranges>
            <range startItem="0">
              <i n="[Calendar Table].[Date (Year)].&amp;[2023]" c="2023"/>
              <i n="[Calendar Table].[Date (Year)].&amp;[2024]" c="2024"/>
            </range>
          </ranges>
        </level>
      </levels>
      <selections count="1">
        <selection n="[Calendar Table].[Date (Year)].&amp;[2024]"/>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55B369F-1AF2-40C2-9EC3-84205E0F5738}" sourceName="[Calendar Table].[Date (Month)]">
  <pivotTables>
    <pivotTable tabId="1" name="PivotTable7"/>
    <pivotTable tabId="1" name="PivotTable1"/>
    <pivotTable tabId="1" name="PivotTable2"/>
    <pivotTable tabId="1" name="PivotTable3"/>
    <pivotTable tabId="1" name="PivotTable8"/>
    <pivotTable tabId="1" name="PivotTable9"/>
    <pivotTable tabId="1" name="PivotTable10"/>
    <pivotTable tabId="1" name="PivotTable11"/>
    <pivotTable tabId="1" name="PivotTable12"/>
    <pivotTable tabId="1" name="PivotTable13"/>
    <pivotTable tabId="1" name="PivotTable15"/>
    <pivotTable tabId="1" name="PivotTable16"/>
  </pivotTables>
  <data>
    <olap pivotCacheId="2017774399">
      <levels count="2">
        <level uniqueName="[Calendar Table].[Date (Month)].[(All)]" sourceCaption="(All)" count="0"/>
        <level uniqueName="[Calendar Table].[Date (Month)].[Date (Month)]" sourceCaption="Date (Month)" count="12">
          <ranges>
            <range startItem="0">
              <i n="[Calendar Table].[Date (Month)].&amp;[Jan]" c="Jan"/>
              <i n="[Calendar Table].[Date (Month)].&amp;[Feb]" c="Feb"/>
              <i n="[Calendar Table].[Date (Month)].&amp;[Mar]" c="Mar"/>
              <i n="[Calendar Table].[Date (Month)].&amp;[Apr]" c="Apr"/>
              <i n="[Calendar Table].[Date (Month)].&amp;[May]" c="May"/>
              <i n="[Calendar Table].[Date (Month)].&amp;[Jun]" c="Jun"/>
              <i n="[Calendar Table].[Date (Month)].&amp;[Jul]" c="Jul"/>
              <i n="[Calendar Table].[Date (Month)].&amp;[Aug]" c="Aug"/>
              <i n="[Calendar Table].[Date (Month)].&amp;[Sep]" c="Sep"/>
              <i n="[Calendar Table].[Date (Month)].&amp;[Oct]" c="Oct"/>
              <i n="[Calendar Table].[Date (Month)].&amp;[Nov]" c="Nov"/>
              <i n="[Calendar Table].[Date (Month)].&amp;[Dec]" c="Dec"/>
            </range>
          </ranges>
        </level>
      </levels>
      <selections count="1">
        <selection n="[Calendar Table].[Date (Month)].&amp;[M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1" xr10:uid="{68EF48A0-4247-4388-93F4-2E5140549298}" cache="Slicer_Date__Year" caption="Date (Year)" columnCount="2" showCaption="0" level="1" style="My Style" rowHeight="324000"/>
  <slicer name="Date (Month) 1" xr10:uid="{F2440531-A3D6-40CE-AA21-CD6510336373}" cache="Slicer_Date__Month" caption="Date (Month)" showCaption="0" level="1" style="My Style" rowHeight="2808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9359D-4B3A-49F0-9FDC-D02C630D2A01}">
  <dimension ref="A3:N62"/>
  <sheetViews>
    <sheetView zoomScale="92" workbookViewId="0">
      <selection activeCell="A13" sqref="A13"/>
    </sheetView>
  </sheetViews>
  <sheetFormatPr defaultRowHeight="24"/>
  <cols>
    <col min="1" max="1" width="18.09765625" customWidth="1"/>
    <col min="2" max="2" width="14.59765625" customWidth="1"/>
    <col min="3" max="3" width="13.19921875" customWidth="1"/>
    <col min="4" max="4" width="23.5" customWidth="1"/>
    <col min="5" max="5" width="26.59765625" bestFit="1" customWidth="1"/>
    <col min="7" max="7" width="13.796875" bestFit="1" customWidth="1"/>
    <col min="8" max="8" width="23.796875" bestFit="1" customWidth="1"/>
    <col min="9" max="9" width="14.3984375" bestFit="1" customWidth="1"/>
    <col min="10" max="10" width="26.59765625" bestFit="1" customWidth="1"/>
    <col min="13" max="13" width="14.3984375" bestFit="1" customWidth="1"/>
    <col min="14" max="14" width="27.19921875" bestFit="1" customWidth="1"/>
  </cols>
  <sheetData>
    <row r="3" spans="1:14">
      <c r="A3" t="s">
        <v>1</v>
      </c>
      <c r="D3" t="s">
        <v>38</v>
      </c>
      <c r="I3" t="s">
        <v>39</v>
      </c>
      <c r="M3" t="s">
        <v>40</v>
      </c>
    </row>
    <row r="4" spans="1:14">
      <c r="A4" t="s">
        <v>0</v>
      </c>
      <c r="D4" s="2" t="s">
        <v>6</v>
      </c>
      <c r="E4" t="s">
        <v>0</v>
      </c>
      <c r="I4" s="2" t="s">
        <v>6</v>
      </c>
      <c r="J4" t="s">
        <v>2</v>
      </c>
      <c r="M4" s="2" t="s">
        <v>6</v>
      </c>
      <c r="N4" t="s">
        <v>3</v>
      </c>
    </row>
    <row r="5" spans="1:14">
      <c r="A5" s="1">
        <v>519</v>
      </c>
      <c r="D5" s="4" t="s">
        <v>7</v>
      </c>
      <c r="E5" s="1">
        <v>14</v>
      </c>
      <c r="I5" s="4" t="s">
        <v>7</v>
      </c>
      <c r="J5" s="3">
        <v>35.642857142857146</v>
      </c>
      <c r="M5" s="4" t="s">
        <v>7</v>
      </c>
      <c r="N5" s="3">
        <v>7.4</v>
      </c>
    </row>
    <row r="6" spans="1:14">
      <c r="D6" s="4" t="s">
        <v>8</v>
      </c>
      <c r="E6" s="1">
        <v>21</v>
      </c>
      <c r="I6" s="4" t="s">
        <v>8</v>
      </c>
      <c r="J6" s="3">
        <v>27</v>
      </c>
      <c r="M6" s="4" t="s">
        <v>8</v>
      </c>
      <c r="N6" s="3">
        <v>5.6</v>
      </c>
    </row>
    <row r="7" spans="1:14">
      <c r="D7" s="4" t="s">
        <v>9</v>
      </c>
      <c r="E7" s="1">
        <v>21</v>
      </c>
      <c r="I7" s="4" t="s">
        <v>9</v>
      </c>
      <c r="J7" s="3">
        <v>36.047619047619051</v>
      </c>
      <c r="M7" s="4" t="s">
        <v>9</v>
      </c>
      <c r="N7" s="3">
        <v>6.7142857142857144</v>
      </c>
    </row>
    <row r="8" spans="1:14">
      <c r="A8" t="s">
        <v>2</v>
      </c>
      <c r="D8" s="4" t="s">
        <v>10</v>
      </c>
      <c r="E8" s="1">
        <v>15</v>
      </c>
      <c r="I8" s="4" t="s">
        <v>10</v>
      </c>
      <c r="J8" s="3">
        <v>38.866666666666667</v>
      </c>
      <c r="M8" s="4" t="s">
        <v>10</v>
      </c>
      <c r="N8" s="3">
        <v>6</v>
      </c>
    </row>
    <row r="9" spans="1:14">
      <c r="A9" s="3">
        <v>35.809248554913296</v>
      </c>
      <c r="D9" s="4" t="s">
        <v>11</v>
      </c>
      <c r="E9" s="1">
        <v>11</v>
      </c>
      <c r="I9" s="4" t="s">
        <v>11</v>
      </c>
      <c r="J9" s="3">
        <v>35.909090909090907</v>
      </c>
      <c r="M9" s="4" t="s">
        <v>11</v>
      </c>
      <c r="N9" s="3">
        <v>4</v>
      </c>
    </row>
    <row r="10" spans="1:14">
      <c r="D10" s="4" t="s">
        <v>12</v>
      </c>
      <c r="E10" s="1">
        <v>17</v>
      </c>
      <c r="I10" s="4" t="s">
        <v>12</v>
      </c>
      <c r="J10" s="3">
        <v>38.470588235294116</v>
      </c>
      <c r="M10" s="4" t="s">
        <v>12</v>
      </c>
      <c r="N10" s="3">
        <v>4.7142857142857144</v>
      </c>
    </row>
    <row r="11" spans="1:14">
      <c r="D11" s="4" t="s">
        <v>13</v>
      </c>
      <c r="E11" s="1">
        <v>15</v>
      </c>
      <c r="I11" s="4" t="s">
        <v>13</v>
      </c>
      <c r="J11" s="3">
        <v>36.733333333333334</v>
      </c>
      <c r="M11" s="4" t="s">
        <v>13</v>
      </c>
      <c r="N11" s="3">
        <v>1.8</v>
      </c>
    </row>
    <row r="12" spans="1:14">
      <c r="A12" t="s">
        <v>3</v>
      </c>
      <c r="D12" s="4" t="s">
        <v>14</v>
      </c>
      <c r="E12" s="1">
        <v>17</v>
      </c>
      <c r="I12" s="4" t="s">
        <v>14</v>
      </c>
      <c r="J12" s="3">
        <v>34.588235294117645</v>
      </c>
      <c r="M12" s="4" t="s">
        <v>14</v>
      </c>
      <c r="N12" s="3">
        <v>4.833333333333333</v>
      </c>
    </row>
    <row r="13" spans="1:14">
      <c r="A13" s="3">
        <v>5.1455696202531644</v>
      </c>
      <c r="D13" s="4" t="s">
        <v>15</v>
      </c>
      <c r="E13" s="1">
        <v>13</v>
      </c>
      <c r="I13" s="4" t="s">
        <v>15</v>
      </c>
      <c r="J13" s="3">
        <v>37.53846153846154</v>
      </c>
      <c r="M13" s="4" t="s">
        <v>15</v>
      </c>
      <c r="N13" s="3">
        <v>4.25</v>
      </c>
    </row>
    <row r="14" spans="1:14">
      <c r="D14" s="4" t="s">
        <v>16</v>
      </c>
      <c r="E14" s="1">
        <v>24</v>
      </c>
      <c r="I14" s="4" t="s">
        <v>16</v>
      </c>
      <c r="J14" s="3">
        <v>31.708333333333332</v>
      </c>
      <c r="M14" s="4" t="s">
        <v>16</v>
      </c>
      <c r="N14" s="3">
        <v>4.5999999999999996</v>
      </c>
    </row>
    <row r="15" spans="1:14">
      <c r="D15" s="4" t="s">
        <v>17</v>
      </c>
      <c r="E15" s="1">
        <v>13</v>
      </c>
      <c r="I15" s="4" t="s">
        <v>17</v>
      </c>
      <c r="J15" s="3">
        <v>28.923076923076923</v>
      </c>
      <c r="M15" s="4" t="s">
        <v>17</v>
      </c>
      <c r="N15" s="3">
        <v>6.5</v>
      </c>
    </row>
    <row r="16" spans="1:14">
      <c r="D16" s="4" t="s">
        <v>18</v>
      </c>
      <c r="E16" s="1">
        <v>14</v>
      </c>
      <c r="I16" s="4" t="s">
        <v>18</v>
      </c>
      <c r="J16" s="3">
        <v>42.071428571428569</v>
      </c>
      <c r="M16" s="4" t="s">
        <v>18</v>
      </c>
      <c r="N16" s="3">
        <v>5</v>
      </c>
    </row>
    <row r="17" spans="4:14">
      <c r="D17" s="4" t="s">
        <v>19</v>
      </c>
      <c r="E17" s="1">
        <v>12</v>
      </c>
      <c r="I17" s="4" t="s">
        <v>19</v>
      </c>
      <c r="J17" s="3">
        <v>35.833333333333336</v>
      </c>
      <c r="M17" s="4" t="s">
        <v>19</v>
      </c>
      <c r="N17" s="3">
        <v>6</v>
      </c>
    </row>
    <row r="18" spans="4:14">
      <c r="D18" s="4" t="s">
        <v>20</v>
      </c>
      <c r="E18" s="1">
        <v>11</v>
      </c>
      <c r="I18" s="4" t="s">
        <v>20</v>
      </c>
      <c r="J18" s="3">
        <v>28.727272727272727</v>
      </c>
      <c r="M18" s="4" t="s">
        <v>20</v>
      </c>
      <c r="N18" s="3">
        <v>4.7142857142857144</v>
      </c>
    </row>
    <row r="19" spans="4:14">
      <c r="D19" s="4" t="s">
        <v>21</v>
      </c>
      <c r="E19" s="1">
        <v>16</v>
      </c>
      <c r="I19" s="4" t="s">
        <v>21</v>
      </c>
      <c r="J19" s="3">
        <v>35.75</v>
      </c>
      <c r="M19" s="4" t="s">
        <v>21</v>
      </c>
      <c r="N19" s="3">
        <v>4.2</v>
      </c>
    </row>
    <row r="20" spans="4:14">
      <c r="D20" s="4" t="s">
        <v>22</v>
      </c>
      <c r="E20" s="1">
        <v>20</v>
      </c>
      <c r="I20" s="4" t="s">
        <v>22</v>
      </c>
      <c r="J20" s="3">
        <v>34.75</v>
      </c>
      <c r="M20" s="4" t="s">
        <v>22</v>
      </c>
      <c r="N20" s="3">
        <v>7.2</v>
      </c>
    </row>
    <row r="21" spans="4:14">
      <c r="D21" s="4" t="s">
        <v>23</v>
      </c>
      <c r="E21" s="1">
        <v>15</v>
      </c>
      <c r="I21" s="4" t="s">
        <v>23</v>
      </c>
      <c r="J21" s="3">
        <v>37.666666666666664</v>
      </c>
      <c r="M21" s="4" t="s">
        <v>23</v>
      </c>
      <c r="N21" s="3">
        <v>4.333333333333333</v>
      </c>
    </row>
    <row r="22" spans="4:14">
      <c r="D22" s="4" t="s">
        <v>24</v>
      </c>
      <c r="E22" s="1">
        <v>19</v>
      </c>
      <c r="I22" s="4" t="s">
        <v>24</v>
      </c>
      <c r="J22" s="3">
        <v>40.421052631578945</v>
      </c>
      <c r="M22" s="4" t="s">
        <v>24</v>
      </c>
      <c r="N22" s="3">
        <v>3.7777777777777777</v>
      </c>
    </row>
    <row r="23" spans="4:14">
      <c r="D23" s="4" t="s">
        <v>25</v>
      </c>
      <c r="E23" s="1">
        <v>16</v>
      </c>
      <c r="I23" s="4" t="s">
        <v>25</v>
      </c>
      <c r="J23" s="3">
        <v>33.75</v>
      </c>
      <c r="M23" s="4" t="s">
        <v>25</v>
      </c>
      <c r="N23" s="3">
        <v>3.6666666666666665</v>
      </c>
    </row>
    <row r="24" spans="4:14">
      <c r="D24" s="4" t="s">
        <v>26</v>
      </c>
      <c r="E24" s="1">
        <v>17</v>
      </c>
      <c r="I24" s="4" t="s">
        <v>26</v>
      </c>
      <c r="J24" s="3">
        <v>32.764705882352942</v>
      </c>
      <c r="M24" s="4" t="s">
        <v>26</v>
      </c>
      <c r="N24" s="3">
        <v>4</v>
      </c>
    </row>
    <row r="25" spans="4:14">
      <c r="D25" s="4" t="s">
        <v>27</v>
      </c>
      <c r="E25" s="1">
        <v>28</v>
      </c>
      <c r="I25" s="4" t="s">
        <v>27</v>
      </c>
      <c r="J25" s="3">
        <v>37.357142857142854</v>
      </c>
      <c r="M25" s="4" t="s">
        <v>27</v>
      </c>
      <c r="N25" s="3">
        <v>5.833333333333333</v>
      </c>
    </row>
    <row r="26" spans="4:14">
      <c r="D26" s="4" t="s">
        <v>28</v>
      </c>
      <c r="E26" s="1">
        <v>22</v>
      </c>
      <c r="I26" s="4" t="s">
        <v>28</v>
      </c>
      <c r="J26" s="3">
        <v>37.227272727272727</v>
      </c>
      <c r="M26" s="4" t="s">
        <v>28</v>
      </c>
      <c r="N26" s="3">
        <v>5.666666666666667</v>
      </c>
    </row>
    <row r="27" spans="4:14">
      <c r="D27" s="4" t="s">
        <v>29</v>
      </c>
      <c r="E27" s="1">
        <v>20</v>
      </c>
      <c r="I27" s="4" t="s">
        <v>29</v>
      </c>
      <c r="J27" s="3">
        <v>36.700000000000003</v>
      </c>
      <c r="M27" s="4" t="s">
        <v>29</v>
      </c>
      <c r="N27" s="3">
        <v>5.5</v>
      </c>
    </row>
    <row r="28" spans="4:14">
      <c r="D28" s="4" t="s">
        <v>30</v>
      </c>
      <c r="E28" s="1">
        <v>17</v>
      </c>
      <c r="I28" s="4" t="s">
        <v>30</v>
      </c>
      <c r="J28" s="3">
        <v>43.058823529411768</v>
      </c>
      <c r="M28" s="4" t="s">
        <v>30</v>
      </c>
      <c r="N28" s="3">
        <v>5.5</v>
      </c>
    </row>
    <row r="29" spans="4:14">
      <c r="D29" s="4" t="s">
        <v>31</v>
      </c>
      <c r="E29" s="1">
        <v>18</v>
      </c>
      <c r="I29" s="4" t="s">
        <v>31</v>
      </c>
      <c r="J29" s="3">
        <v>39.777777777777779</v>
      </c>
      <c r="M29" s="4" t="s">
        <v>31</v>
      </c>
      <c r="N29" s="3">
        <v>7</v>
      </c>
    </row>
    <row r="30" spans="4:14">
      <c r="D30" s="4" t="s">
        <v>32</v>
      </c>
      <c r="E30" s="1">
        <v>13</v>
      </c>
      <c r="I30" s="4" t="s">
        <v>32</v>
      </c>
      <c r="J30" s="3">
        <v>40.692307692307693</v>
      </c>
      <c r="M30" s="4" t="s">
        <v>32</v>
      </c>
      <c r="N30" s="3">
        <v>7</v>
      </c>
    </row>
    <row r="31" spans="4:14">
      <c r="D31" s="4" t="s">
        <v>33</v>
      </c>
      <c r="E31" s="1">
        <v>13</v>
      </c>
      <c r="I31" s="4" t="s">
        <v>33</v>
      </c>
      <c r="J31" s="3">
        <v>34.46153846153846</v>
      </c>
      <c r="M31" s="4" t="s">
        <v>33</v>
      </c>
      <c r="N31" s="3">
        <v>4</v>
      </c>
    </row>
    <row r="32" spans="4:14">
      <c r="D32" s="4" t="s">
        <v>34</v>
      </c>
      <c r="E32" s="1">
        <v>13</v>
      </c>
      <c r="I32" s="4" t="s">
        <v>34</v>
      </c>
      <c r="J32" s="3">
        <v>30.307692307692307</v>
      </c>
      <c r="M32" s="4" t="s">
        <v>34</v>
      </c>
      <c r="N32" s="3">
        <v>4.4444444444444446</v>
      </c>
    </row>
    <row r="33" spans="1:14">
      <c r="D33" s="4" t="s">
        <v>35</v>
      </c>
      <c r="E33" s="1">
        <v>20</v>
      </c>
      <c r="I33" s="4" t="s">
        <v>35</v>
      </c>
      <c r="J33" s="3">
        <v>38.5</v>
      </c>
      <c r="M33" s="4" t="s">
        <v>35</v>
      </c>
      <c r="N33" s="3">
        <v>4.8571428571428568</v>
      </c>
    </row>
    <row r="34" spans="1:14">
      <c r="D34" s="4" t="s">
        <v>36</v>
      </c>
      <c r="E34" s="1">
        <v>15</v>
      </c>
      <c r="I34" s="4" t="s">
        <v>36</v>
      </c>
      <c r="J34" s="3">
        <v>35.333333333333336</v>
      </c>
      <c r="M34" s="4" t="s">
        <v>36</v>
      </c>
      <c r="N34" s="3">
        <v>5.5714285714285712</v>
      </c>
    </row>
    <row r="35" spans="1:14">
      <c r="D35" s="4" t="s">
        <v>37</v>
      </c>
      <c r="E35" s="1">
        <v>19</v>
      </c>
      <c r="I35" s="4" t="s">
        <v>37</v>
      </c>
      <c r="J35" s="3">
        <v>32.421052631578945</v>
      </c>
      <c r="M35" s="4" t="s">
        <v>37</v>
      </c>
      <c r="N35" s="3">
        <v>6</v>
      </c>
    </row>
    <row r="36" spans="1:14">
      <c r="D36" s="4" t="s">
        <v>4</v>
      </c>
      <c r="E36" s="1">
        <v>519</v>
      </c>
      <c r="I36" s="4" t="s">
        <v>4</v>
      </c>
      <c r="J36" s="3">
        <v>35.809248554913296</v>
      </c>
      <c r="M36" s="4" t="s">
        <v>4</v>
      </c>
      <c r="N36" s="3">
        <v>5.1455696202531644</v>
      </c>
    </row>
    <row r="38" spans="1:14">
      <c r="A38" s="2" t="s">
        <v>6</v>
      </c>
      <c r="B38" t="s">
        <v>42</v>
      </c>
      <c r="C38" t="s">
        <v>45</v>
      </c>
    </row>
    <row r="39" spans="1:14">
      <c r="A39" s="4" t="s">
        <v>43</v>
      </c>
      <c r="B39" s="3">
        <v>266</v>
      </c>
      <c r="C39" s="6">
        <v>0.51252408477842004</v>
      </c>
    </row>
    <row r="40" spans="1:14">
      <c r="A40" s="4" t="s">
        <v>44</v>
      </c>
      <c r="B40" s="3">
        <v>253</v>
      </c>
      <c r="C40" s="6">
        <v>0.48747591522157996</v>
      </c>
    </row>
    <row r="41" spans="1:14">
      <c r="A41" s="4" t="s">
        <v>4</v>
      </c>
      <c r="B41" s="3">
        <v>519</v>
      </c>
      <c r="C41" s="6">
        <v>1</v>
      </c>
    </row>
    <row r="43" spans="1:14">
      <c r="A43" s="13" t="s">
        <v>46</v>
      </c>
      <c r="B43" s="13" t="s">
        <v>1</v>
      </c>
      <c r="C43" s="13" t="s">
        <v>47</v>
      </c>
      <c r="D43" s="14"/>
    </row>
    <row r="44" spans="1:14">
      <c r="A44" s="9" t="str">
        <f>A40</f>
        <v>Not Admitted</v>
      </c>
      <c r="B44" s="9">
        <f t="shared" ref="B44:C44" si="0">B40</f>
        <v>253</v>
      </c>
      <c r="C44" s="11">
        <f t="shared" si="0"/>
        <v>0.48747591522157996</v>
      </c>
      <c r="D44" s="10"/>
    </row>
    <row r="45" spans="1:14">
      <c r="A45" s="9" t="str">
        <f>A39</f>
        <v>Admitted</v>
      </c>
      <c r="B45" s="9">
        <f t="shared" ref="B45:C45" si="1">B39</f>
        <v>266</v>
      </c>
      <c r="C45" s="11">
        <f t="shared" si="1"/>
        <v>0.51252408477842004</v>
      </c>
      <c r="D45" s="10"/>
    </row>
    <row r="46" spans="1:14">
      <c r="A46" s="7"/>
      <c r="B46" s="7"/>
      <c r="C46" s="7"/>
      <c r="D46" s="7"/>
    </row>
    <row r="47" spans="1:14">
      <c r="A47" t="s">
        <v>57</v>
      </c>
      <c r="D47" t="s">
        <v>60</v>
      </c>
    </row>
    <row r="48" spans="1:14">
      <c r="A48" s="2" t="s">
        <v>6</v>
      </c>
      <c r="B48" t="s">
        <v>48</v>
      </c>
      <c r="D48" s="2" t="s">
        <v>6</v>
      </c>
      <c r="E48" t="s">
        <v>41</v>
      </c>
    </row>
    <row r="49" spans="1:8">
      <c r="A49" s="4" t="s">
        <v>49</v>
      </c>
      <c r="B49" s="8">
        <v>73</v>
      </c>
      <c r="D49" s="4" t="s">
        <v>58</v>
      </c>
      <c r="E49" s="8">
        <v>324</v>
      </c>
    </row>
    <row r="50" spans="1:8">
      <c r="A50" s="4" t="s">
        <v>50</v>
      </c>
      <c r="B50" s="8">
        <v>64</v>
      </c>
      <c r="D50" s="4" t="s">
        <v>59</v>
      </c>
      <c r="E50" s="8">
        <v>195</v>
      </c>
    </row>
    <row r="51" spans="1:8">
      <c r="A51" s="4" t="s">
        <v>51</v>
      </c>
      <c r="B51" s="8">
        <v>74</v>
      </c>
      <c r="D51" s="4" t="s">
        <v>4</v>
      </c>
      <c r="E51" s="8">
        <v>519</v>
      </c>
      <c r="G51" s="2" t="s">
        <v>6</v>
      </c>
      <c r="H51" t="s">
        <v>65</v>
      </c>
    </row>
    <row r="52" spans="1:8">
      <c r="A52" s="4" t="s">
        <v>52</v>
      </c>
      <c r="B52" s="8">
        <v>71</v>
      </c>
      <c r="G52" s="4" t="s">
        <v>73</v>
      </c>
      <c r="H52" s="8">
        <v>3</v>
      </c>
    </row>
    <row r="53" spans="1:8">
      <c r="A53" s="4" t="s">
        <v>53</v>
      </c>
      <c r="B53" s="8">
        <v>58</v>
      </c>
      <c r="D53" s="4" t="s">
        <v>64</v>
      </c>
      <c r="G53" s="4" t="s">
        <v>67</v>
      </c>
      <c r="H53" s="8">
        <v>8</v>
      </c>
    </row>
    <row r="54" spans="1:8">
      <c r="A54" s="4" t="s">
        <v>54</v>
      </c>
      <c r="B54" s="8">
        <v>68</v>
      </c>
      <c r="D54" s="2" t="s">
        <v>6</v>
      </c>
      <c r="E54" t="s">
        <v>61</v>
      </c>
      <c r="G54" s="4" t="s">
        <v>66</v>
      </c>
      <c r="H54" s="8">
        <v>11</v>
      </c>
    </row>
    <row r="55" spans="1:8">
      <c r="A55" s="4" t="s">
        <v>55</v>
      </c>
      <c r="B55" s="8">
        <v>62</v>
      </c>
      <c r="D55" s="4" t="s">
        <v>62</v>
      </c>
      <c r="E55" s="8">
        <v>254</v>
      </c>
      <c r="G55" s="4" t="s">
        <v>72</v>
      </c>
      <c r="H55" s="8">
        <v>15</v>
      </c>
    </row>
    <row r="56" spans="1:8">
      <c r="A56" s="4" t="s">
        <v>56</v>
      </c>
      <c r="B56" s="8">
        <v>49</v>
      </c>
      <c r="D56" s="4" t="s">
        <v>63</v>
      </c>
      <c r="E56" s="8">
        <v>265</v>
      </c>
      <c r="G56" s="4" t="s">
        <v>69</v>
      </c>
      <c r="H56" s="8">
        <v>16</v>
      </c>
    </row>
    <row r="57" spans="1:8">
      <c r="A57" s="4" t="s">
        <v>4</v>
      </c>
      <c r="B57" s="8">
        <v>519</v>
      </c>
      <c r="D57" s="4" t="s">
        <v>4</v>
      </c>
      <c r="E57" s="8">
        <v>519</v>
      </c>
      <c r="G57" s="4" t="s">
        <v>71</v>
      </c>
      <c r="H57" s="8">
        <v>51</v>
      </c>
    </row>
    <row r="58" spans="1:8">
      <c r="G58" s="4" t="s">
        <v>68</v>
      </c>
      <c r="H58" s="8">
        <v>102</v>
      </c>
    </row>
    <row r="59" spans="1:8">
      <c r="G59" s="4" t="s">
        <v>70</v>
      </c>
      <c r="H59" s="8">
        <v>313</v>
      </c>
    </row>
    <row r="60" spans="1:8">
      <c r="A60" s="2" t="s">
        <v>6</v>
      </c>
      <c r="G60" s="4" t="s">
        <v>4</v>
      </c>
      <c r="H60" s="8">
        <v>519</v>
      </c>
    </row>
    <row r="61" spans="1:8">
      <c r="A61" s="4" t="s">
        <v>5</v>
      </c>
    </row>
    <row r="62" spans="1:8">
      <c r="A62" s="4" t="s">
        <v>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50DBE-EAB4-4366-85F3-2A39878B5959}">
  <dimension ref="A1:O16"/>
  <sheetViews>
    <sheetView tabSelected="1" zoomScale="93" zoomScaleNormal="100" workbookViewId="0">
      <selection activeCell="V17" sqref="V17"/>
    </sheetView>
  </sheetViews>
  <sheetFormatPr defaultRowHeight="24"/>
  <cols>
    <col min="1" max="16384" width="8.796875" style="7"/>
  </cols>
  <sheetData>
    <row r="1" spans="1:15">
      <c r="A1" s="12"/>
      <c r="B1" s="12"/>
      <c r="C1" s="12"/>
      <c r="D1" s="12"/>
      <c r="E1" s="12"/>
      <c r="F1" s="12"/>
      <c r="G1" s="12"/>
      <c r="H1" s="12"/>
      <c r="I1" s="12"/>
      <c r="J1" s="12"/>
      <c r="K1" s="12"/>
      <c r="L1" s="12"/>
      <c r="M1" s="12"/>
      <c r="N1" s="12"/>
      <c r="O1" s="12"/>
    </row>
    <row r="2" spans="1:15">
      <c r="A2" s="12"/>
      <c r="B2" s="12"/>
      <c r="C2" s="12"/>
      <c r="D2" s="12"/>
      <c r="E2" s="12"/>
      <c r="F2" s="12"/>
      <c r="G2" s="12"/>
      <c r="H2" s="12"/>
      <c r="I2" s="12"/>
      <c r="J2" s="12"/>
      <c r="K2" s="12"/>
      <c r="L2" s="12"/>
      <c r="M2" s="12"/>
      <c r="N2" s="12"/>
      <c r="O2" s="12"/>
    </row>
    <row r="3" spans="1:15">
      <c r="A3" s="12"/>
      <c r="B3" s="12"/>
      <c r="C3" s="12"/>
      <c r="D3" s="12"/>
      <c r="E3" s="12"/>
      <c r="F3" s="12"/>
      <c r="G3" s="12"/>
      <c r="H3" s="12"/>
      <c r="I3" s="12"/>
      <c r="J3" s="12"/>
      <c r="K3" s="12"/>
      <c r="L3" s="12"/>
      <c r="M3" s="12"/>
      <c r="N3" s="12"/>
      <c r="O3" s="12"/>
    </row>
    <row r="4" spans="1:15">
      <c r="A4" s="12"/>
      <c r="B4" s="12"/>
      <c r="C4" s="12"/>
      <c r="D4" s="12"/>
      <c r="E4" s="12"/>
      <c r="F4" s="12"/>
      <c r="G4" s="12"/>
      <c r="H4" s="12"/>
      <c r="I4" s="12"/>
      <c r="J4" s="12"/>
      <c r="K4" s="12"/>
      <c r="L4" s="12"/>
      <c r="M4" s="12"/>
      <c r="N4" s="12"/>
      <c r="O4" s="12"/>
    </row>
    <row r="5" spans="1:15">
      <c r="A5" s="12"/>
      <c r="B5" s="12"/>
      <c r="C5" s="12"/>
      <c r="D5" s="12"/>
      <c r="E5" s="12"/>
      <c r="F5" s="12"/>
      <c r="G5" s="12"/>
      <c r="H5" s="12"/>
      <c r="I5" s="12"/>
      <c r="J5" s="12"/>
      <c r="K5" s="12"/>
      <c r="L5" s="12"/>
      <c r="M5" s="12"/>
      <c r="N5" s="12"/>
      <c r="O5" s="12"/>
    </row>
    <row r="6" spans="1:15">
      <c r="A6" s="12"/>
      <c r="B6" s="12"/>
      <c r="C6" s="12"/>
      <c r="D6" s="12"/>
      <c r="E6" s="12"/>
      <c r="F6" s="12"/>
      <c r="G6" s="12"/>
      <c r="H6" s="12"/>
      <c r="I6" s="12"/>
      <c r="J6" s="12"/>
      <c r="K6" s="12"/>
      <c r="L6" s="12"/>
      <c r="M6" s="12"/>
      <c r="N6" s="12"/>
      <c r="O6" s="12"/>
    </row>
    <row r="7" spans="1:15">
      <c r="A7" s="12"/>
      <c r="B7" s="12"/>
      <c r="C7" s="12"/>
      <c r="D7" s="12"/>
      <c r="E7" s="12"/>
      <c r="F7" s="12"/>
      <c r="G7" s="12"/>
      <c r="H7" s="12"/>
      <c r="I7" s="12"/>
      <c r="J7" s="12"/>
      <c r="K7" s="12"/>
      <c r="L7" s="12"/>
      <c r="M7" s="12"/>
      <c r="N7" s="12"/>
      <c r="O7" s="12"/>
    </row>
    <row r="8" spans="1:15">
      <c r="A8" s="12"/>
      <c r="B8" s="12"/>
      <c r="C8" s="12"/>
      <c r="D8" s="12"/>
      <c r="E8" s="12"/>
      <c r="F8" s="12"/>
      <c r="G8" s="12"/>
      <c r="H8" s="12"/>
      <c r="I8" s="12"/>
      <c r="J8" s="12"/>
      <c r="K8" s="12"/>
      <c r="L8" s="12"/>
      <c r="M8" s="12"/>
      <c r="N8" s="12"/>
      <c r="O8" s="12"/>
    </row>
    <row r="9" spans="1:15">
      <c r="A9" s="12"/>
      <c r="B9" s="12"/>
      <c r="C9" s="12"/>
      <c r="D9" s="12"/>
      <c r="E9" s="12"/>
      <c r="F9" s="12"/>
      <c r="G9" s="12"/>
      <c r="H9" s="12"/>
      <c r="I9" s="12"/>
      <c r="J9" s="12"/>
      <c r="K9" s="12"/>
      <c r="L9" s="12"/>
      <c r="M9" s="12"/>
      <c r="N9" s="12"/>
      <c r="O9" s="12"/>
    </row>
    <row r="10" spans="1:15">
      <c r="A10" s="12"/>
      <c r="B10" s="12"/>
      <c r="C10" s="12"/>
      <c r="D10" s="12"/>
      <c r="E10" s="12"/>
      <c r="F10" s="12"/>
      <c r="G10" s="12"/>
      <c r="H10" s="12"/>
      <c r="I10" s="12"/>
      <c r="J10" s="12"/>
      <c r="K10" s="12"/>
      <c r="L10" s="12"/>
      <c r="M10" s="12"/>
      <c r="N10" s="12"/>
      <c r="O10" s="12"/>
    </row>
    <row r="11" spans="1:15">
      <c r="A11" s="12"/>
      <c r="B11" s="12"/>
      <c r="C11" s="12"/>
      <c r="D11" s="12"/>
      <c r="E11" s="12"/>
      <c r="F11" s="12"/>
      <c r="G11" s="12"/>
      <c r="H11" s="12"/>
      <c r="I11" s="12"/>
      <c r="J11" s="12"/>
      <c r="K11" s="12"/>
      <c r="L11" s="12"/>
      <c r="M11" s="12"/>
      <c r="N11" s="12"/>
      <c r="O11" s="12"/>
    </row>
    <row r="12" spans="1:15">
      <c r="A12" s="12"/>
      <c r="B12" s="12"/>
      <c r="C12" s="12"/>
      <c r="D12" s="12"/>
      <c r="E12" s="12"/>
      <c r="F12" s="12"/>
      <c r="G12" s="12"/>
      <c r="H12" s="12"/>
      <c r="I12" s="12"/>
      <c r="J12" s="12"/>
      <c r="K12" s="12"/>
      <c r="L12" s="12"/>
      <c r="M12" s="12"/>
      <c r="N12" s="12"/>
      <c r="O12" s="12"/>
    </row>
    <row r="13" spans="1:15">
      <c r="A13" s="12"/>
      <c r="B13" s="12"/>
      <c r="C13" s="12"/>
      <c r="D13" s="12"/>
      <c r="E13" s="12"/>
      <c r="F13" s="12"/>
      <c r="G13" s="12"/>
      <c r="H13" s="12"/>
      <c r="I13" s="12"/>
      <c r="J13" s="12"/>
      <c r="K13" s="12"/>
      <c r="L13" s="12"/>
      <c r="M13" s="12"/>
      <c r="N13" s="12"/>
      <c r="O13" s="12"/>
    </row>
    <row r="14" spans="1:15">
      <c r="A14" s="12"/>
      <c r="B14" s="12"/>
      <c r="C14" s="12"/>
      <c r="D14" s="12"/>
      <c r="E14" s="12"/>
      <c r="F14" s="12"/>
      <c r="G14" s="12"/>
      <c r="H14" s="12"/>
      <c r="I14" s="12"/>
      <c r="J14" s="12"/>
      <c r="K14" s="12"/>
      <c r="L14" s="12"/>
      <c r="M14" s="12"/>
      <c r="N14" s="12"/>
      <c r="O14" s="12"/>
    </row>
    <row r="15" spans="1:15">
      <c r="A15" s="12"/>
      <c r="B15" s="12"/>
      <c r="C15" s="12"/>
      <c r="D15" s="12"/>
      <c r="E15" s="12"/>
      <c r="F15" s="12"/>
      <c r="G15" s="12"/>
      <c r="H15" s="12"/>
      <c r="I15" s="12"/>
      <c r="J15" s="12"/>
      <c r="K15" s="12"/>
      <c r="L15" s="12"/>
      <c r="M15" s="12"/>
      <c r="N15" s="12"/>
      <c r="O15" s="12"/>
    </row>
    <row r="16" spans="1:15">
      <c r="A16" s="12"/>
      <c r="B16" s="12"/>
      <c r="C16" s="12"/>
      <c r="D16" s="12"/>
      <c r="E16" s="12"/>
      <c r="F16" s="12"/>
      <c r="G16" s="12"/>
      <c r="H16" s="12"/>
      <c r="I16" s="12"/>
      <c r="J16" s="12"/>
      <c r="K16" s="12"/>
      <c r="L16" s="12"/>
      <c r="M16" s="12"/>
      <c r="N16" s="12"/>
      <c r="O16" s="1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5F11E-3BAD-440C-B94B-1A6FDE91DA37}">
  <dimension ref="A1:Q16"/>
  <sheetViews>
    <sheetView workbookViewId="0"/>
  </sheetViews>
  <sheetFormatPr defaultRowHeight="24"/>
  <sheetData>
    <row r="1" spans="1:17">
      <c r="A1" s="5"/>
      <c r="B1" s="5"/>
      <c r="C1" s="5"/>
      <c r="D1" s="5"/>
      <c r="E1" s="5"/>
      <c r="F1" s="5"/>
      <c r="G1" s="5"/>
      <c r="H1" s="5"/>
      <c r="I1" s="5"/>
      <c r="J1" s="5"/>
      <c r="K1" s="5"/>
      <c r="L1" s="5"/>
      <c r="M1" s="5"/>
      <c r="N1" s="5"/>
      <c r="O1" s="5"/>
      <c r="P1" s="5"/>
      <c r="Q1" s="5"/>
    </row>
    <row r="2" spans="1:17">
      <c r="A2" s="5"/>
      <c r="B2" s="5"/>
      <c r="C2" s="5"/>
      <c r="D2" s="5"/>
      <c r="E2" s="5"/>
      <c r="F2" s="5"/>
      <c r="G2" s="5"/>
      <c r="H2" s="5"/>
      <c r="I2" s="5"/>
      <c r="J2" s="5"/>
      <c r="K2" s="5"/>
      <c r="L2" s="5"/>
      <c r="M2" s="5"/>
      <c r="N2" s="5"/>
      <c r="O2" s="5"/>
      <c r="P2" s="5"/>
      <c r="Q2" s="5"/>
    </row>
    <row r="3" spans="1:17">
      <c r="A3" s="5"/>
      <c r="B3" s="5"/>
      <c r="C3" s="5"/>
      <c r="D3" s="5"/>
      <c r="E3" s="5"/>
      <c r="F3" s="5"/>
      <c r="G3" s="5"/>
      <c r="H3" s="5"/>
      <c r="I3" s="5"/>
      <c r="J3" s="5"/>
      <c r="K3" s="5"/>
      <c r="L3" s="5"/>
      <c r="M3" s="5"/>
      <c r="N3" s="5"/>
      <c r="O3" s="5"/>
      <c r="P3" s="5"/>
      <c r="Q3" s="5"/>
    </row>
    <row r="4" spans="1:17">
      <c r="A4" s="5"/>
      <c r="B4" s="5"/>
      <c r="C4" s="5"/>
      <c r="D4" s="5"/>
      <c r="E4" s="5"/>
      <c r="F4" s="5"/>
      <c r="G4" s="5"/>
      <c r="H4" s="5"/>
      <c r="I4" s="5"/>
      <c r="J4" s="5"/>
      <c r="K4" s="5"/>
      <c r="L4" s="5"/>
      <c r="M4" s="5"/>
      <c r="N4" s="5"/>
      <c r="O4" s="5"/>
      <c r="P4" s="5"/>
      <c r="Q4" s="5"/>
    </row>
    <row r="5" spans="1:17">
      <c r="A5" s="5"/>
      <c r="B5" s="5"/>
      <c r="C5" s="5"/>
      <c r="D5" s="5"/>
      <c r="E5" s="5"/>
      <c r="F5" s="5"/>
      <c r="G5" s="5"/>
      <c r="H5" s="5"/>
      <c r="I5" s="5"/>
      <c r="J5" s="5"/>
      <c r="K5" s="5"/>
      <c r="L5" s="5"/>
      <c r="M5" s="5"/>
      <c r="N5" s="5"/>
      <c r="O5" s="5"/>
      <c r="P5" s="5"/>
      <c r="Q5" s="5"/>
    </row>
    <row r="6" spans="1:17">
      <c r="A6" s="5"/>
      <c r="B6" s="5"/>
      <c r="C6" s="5"/>
      <c r="D6" s="5"/>
      <c r="E6" s="5"/>
      <c r="F6" s="5"/>
      <c r="G6" s="5"/>
      <c r="H6" s="5"/>
      <c r="I6" s="5"/>
      <c r="J6" s="5"/>
      <c r="K6" s="5"/>
      <c r="L6" s="5"/>
      <c r="M6" s="5"/>
      <c r="N6" s="5"/>
      <c r="O6" s="5"/>
      <c r="P6" s="5"/>
      <c r="Q6" s="5"/>
    </row>
    <row r="7" spans="1:17">
      <c r="A7" s="5"/>
      <c r="B7" s="5"/>
      <c r="C7" s="5"/>
      <c r="D7" s="5"/>
      <c r="E7" s="5"/>
      <c r="F7" s="5"/>
      <c r="G7" s="5"/>
      <c r="H7" s="5"/>
      <c r="I7" s="5"/>
      <c r="J7" s="5"/>
      <c r="K7" s="5"/>
      <c r="L7" s="5"/>
      <c r="M7" s="5"/>
      <c r="N7" s="5"/>
      <c r="O7" s="5"/>
      <c r="P7" s="5"/>
      <c r="Q7" s="5"/>
    </row>
    <row r="8" spans="1:17">
      <c r="A8" s="5"/>
      <c r="B8" s="5"/>
      <c r="C8" s="5"/>
      <c r="D8" s="5"/>
      <c r="E8" s="5"/>
      <c r="F8" s="5"/>
      <c r="G8" s="5"/>
      <c r="H8" s="5"/>
      <c r="I8" s="5"/>
      <c r="J8" s="5"/>
      <c r="K8" s="5"/>
      <c r="L8" s="5"/>
      <c r="M8" s="5"/>
      <c r="N8" s="5"/>
      <c r="O8" s="5"/>
      <c r="P8" s="5"/>
      <c r="Q8" s="5"/>
    </row>
    <row r="9" spans="1:17">
      <c r="A9" s="5"/>
      <c r="B9" s="5"/>
      <c r="C9" s="5"/>
      <c r="D9" s="5"/>
      <c r="E9" s="5"/>
      <c r="F9" s="5"/>
      <c r="G9" s="5"/>
      <c r="H9" s="5"/>
      <c r="I9" s="5"/>
      <c r="J9" s="5"/>
      <c r="K9" s="5"/>
      <c r="L9" s="5"/>
      <c r="M9" s="5"/>
      <c r="N9" s="5"/>
      <c r="O9" s="5"/>
      <c r="P9" s="5"/>
      <c r="Q9" s="5"/>
    </row>
    <row r="10" spans="1:17">
      <c r="A10" s="5"/>
      <c r="B10" s="5"/>
      <c r="C10" s="5"/>
      <c r="D10" s="5"/>
      <c r="E10" s="5"/>
      <c r="F10" s="5"/>
      <c r="G10" s="5"/>
      <c r="H10" s="5"/>
      <c r="I10" s="5"/>
      <c r="J10" s="5"/>
      <c r="K10" s="5"/>
      <c r="L10" s="5"/>
      <c r="M10" s="5"/>
      <c r="N10" s="5"/>
      <c r="O10" s="5"/>
      <c r="P10" s="5"/>
      <c r="Q10" s="5"/>
    </row>
    <row r="11" spans="1:17">
      <c r="A11" s="5"/>
      <c r="B11" s="5"/>
      <c r="C11" s="5"/>
      <c r="D11" s="5"/>
      <c r="E11" s="5"/>
      <c r="F11" s="5"/>
      <c r="G11" s="5"/>
      <c r="H11" s="5"/>
      <c r="I11" s="5"/>
      <c r="J11" s="5"/>
      <c r="K11" s="5"/>
      <c r="L11" s="5"/>
      <c r="M11" s="5"/>
      <c r="N11" s="5"/>
      <c r="O11" s="5"/>
      <c r="P11" s="5"/>
      <c r="Q11" s="5"/>
    </row>
    <row r="12" spans="1:17">
      <c r="A12" s="5"/>
      <c r="B12" s="5"/>
      <c r="C12" s="5"/>
      <c r="D12" s="5"/>
      <c r="E12" s="5"/>
      <c r="F12" s="5"/>
      <c r="G12" s="5"/>
      <c r="H12" s="5"/>
      <c r="I12" s="5"/>
      <c r="J12" s="5"/>
      <c r="K12" s="5"/>
      <c r="L12" s="5"/>
      <c r="M12" s="5"/>
      <c r="N12" s="5"/>
      <c r="O12" s="5"/>
      <c r="P12" s="5"/>
      <c r="Q12" s="5"/>
    </row>
    <row r="13" spans="1:17">
      <c r="A13" s="5"/>
      <c r="B13" s="5"/>
      <c r="C13" s="5"/>
      <c r="D13" s="5"/>
      <c r="E13" s="5"/>
      <c r="F13" s="5"/>
      <c r="G13" s="5"/>
      <c r="H13" s="5"/>
      <c r="I13" s="5"/>
      <c r="J13" s="5"/>
      <c r="K13" s="5"/>
      <c r="L13" s="5"/>
      <c r="M13" s="5"/>
      <c r="N13" s="5"/>
      <c r="O13" s="5"/>
      <c r="P13" s="5"/>
      <c r="Q13" s="5"/>
    </row>
    <row r="14" spans="1:17">
      <c r="A14" s="5"/>
      <c r="B14" s="5"/>
      <c r="C14" s="5"/>
      <c r="D14" s="5"/>
      <c r="E14" s="5"/>
      <c r="F14" s="5"/>
      <c r="G14" s="5"/>
      <c r="H14" s="5"/>
      <c r="I14" s="5"/>
      <c r="J14" s="5"/>
      <c r="K14" s="5"/>
      <c r="L14" s="5"/>
      <c r="M14" s="5"/>
      <c r="N14" s="5"/>
      <c r="O14" s="5"/>
      <c r="P14" s="5"/>
      <c r="Q14" s="5"/>
    </row>
    <row r="15" spans="1:17">
      <c r="A15" s="5"/>
      <c r="B15" s="5"/>
      <c r="C15" s="5"/>
      <c r="D15" s="5"/>
      <c r="E15" s="5"/>
      <c r="F15" s="5"/>
      <c r="G15" s="5"/>
      <c r="H15" s="5"/>
      <c r="I15" s="5"/>
      <c r="J15" s="5"/>
      <c r="K15" s="5"/>
      <c r="L15" s="5"/>
      <c r="M15" s="5"/>
      <c r="N15" s="5"/>
      <c r="O15" s="5"/>
      <c r="P15" s="5"/>
      <c r="Q15" s="5"/>
    </row>
    <row r="16" spans="1:17">
      <c r="A16" s="5"/>
      <c r="B16" s="5"/>
      <c r="C16" s="5"/>
      <c r="D16" s="5"/>
      <c r="E16" s="5"/>
      <c r="F16" s="5"/>
      <c r="G16" s="5"/>
      <c r="H16" s="5"/>
      <c r="I16" s="5"/>
      <c r="J16" s="5"/>
      <c r="K16" s="5"/>
      <c r="L16" s="5"/>
      <c r="M16" s="5"/>
      <c r="N16" s="5"/>
      <c r="O16" s="5"/>
      <c r="P16" s="5"/>
      <c r="Q16"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58F91-173B-4758-B7D6-95F816E125ED}">
  <dimension ref="A1:Q16"/>
  <sheetViews>
    <sheetView workbookViewId="0"/>
  </sheetViews>
  <sheetFormatPr defaultRowHeight="24"/>
  <sheetData>
    <row r="1" spans="1:17">
      <c r="A1" s="5"/>
      <c r="B1" s="5"/>
      <c r="C1" s="5"/>
      <c r="D1" s="5"/>
      <c r="E1" s="5"/>
      <c r="F1" s="5"/>
      <c r="G1" s="5"/>
      <c r="H1" s="5"/>
      <c r="I1" s="5"/>
      <c r="J1" s="5"/>
      <c r="K1" s="5"/>
      <c r="L1" s="5"/>
      <c r="M1" s="5"/>
      <c r="N1" s="5"/>
      <c r="O1" s="5"/>
      <c r="P1" s="5"/>
      <c r="Q1" s="5"/>
    </row>
    <row r="2" spans="1:17">
      <c r="A2" s="5"/>
      <c r="B2" s="5"/>
      <c r="C2" s="5"/>
      <c r="D2" s="5"/>
      <c r="E2" s="5"/>
      <c r="F2" s="5"/>
      <c r="G2" s="5"/>
      <c r="H2" s="5"/>
      <c r="I2" s="5"/>
      <c r="J2" s="5"/>
      <c r="K2" s="5"/>
      <c r="L2" s="5"/>
      <c r="M2" s="5"/>
      <c r="N2" s="5"/>
      <c r="O2" s="5"/>
      <c r="P2" s="5"/>
      <c r="Q2" s="5"/>
    </row>
    <row r="3" spans="1:17">
      <c r="A3" s="5"/>
      <c r="B3" s="5"/>
      <c r="C3" s="5"/>
      <c r="D3" s="5"/>
      <c r="E3" s="5"/>
      <c r="F3" s="5"/>
      <c r="G3" s="5"/>
      <c r="H3" s="5"/>
      <c r="I3" s="5"/>
      <c r="J3" s="5"/>
      <c r="K3" s="5"/>
      <c r="L3" s="5"/>
      <c r="M3" s="5"/>
      <c r="N3" s="5"/>
      <c r="O3" s="5"/>
      <c r="P3" s="5"/>
      <c r="Q3" s="5"/>
    </row>
    <row r="4" spans="1:17">
      <c r="A4" s="5"/>
      <c r="B4" s="5"/>
      <c r="C4" s="5"/>
      <c r="D4" s="5"/>
      <c r="E4" s="5"/>
      <c r="F4" s="5"/>
      <c r="G4" s="5"/>
      <c r="H4" s="5"/>
      <c r="I4" s="5"/>
      <c r="J4" s="5"/>
      <c r="K4" s="5"/>
      <c r="L4" s="5"/>
      <c r="M4" s="5"/>
      <c r="N4" s="5"/>
      <c r="O4" s="5"/>
      <c r="P4" s="5"/>
      <c r="Q4" s="5"/>
    </row>
    <row r="5" spans="1:17">
      <c r="A5" s="5"/>
      <c r="B5" s="5"/>
      <c r="C5" s="5"/>
      <c r="D5" s="5"/>
      <c r="E5" s="5"/>
      <c r="F5" s="5"/>
      <c r="G5" s="5"/>
      <c r="H5" s="5"/>
      <c r="I5" s="5"/>
      <c r="J5" s="5"/>
      <c r="K5" s="5"/>
      <c r="L5" s="5"/>
      <c r="M5" s="5"/>
      <c r="N5" s="5"/>
      <c r="O5" s="5"/>
      <c r="P5" s="5"/>
      <c r="Q5" s="5"/>
    </row>
    <row r="6" spans="1:17">
      <c r="A6" s="5"/>
      <c r="B6" s="5"/>
      <c r="C6" s="5"/>
      <c r="D6" s="5"/>
      <c r="E6" s="5"/>
      <c r="F6" s="5"/>
      <c r="G6" s="5"/>
      <c r="H6" s="5"/>
      <c r="I6" s="5"/>
      <c r="J6" s="5"/>
      <c r="K6" s="5"/>
      <c r="L6" s="5"/>
      <c r="M6" s="5"/>
      <c r="N6" s="5"/>
      <c r="O6" s="5"/>
      <c r="P6" s="5"/>
      <c r="Q6" s="5"/>
    </row>
    <row r="7" spans="1:17">
      <c r="A7" s="5"/>
      <c r="B7" s="5"/>
      <c r="C7" s="5"/>
      <c r="D7" s="5"/>
      <c r="E7" s="5"/>
      <c r="F7" s="5"/>
      <c r="G7" s="5"/>
      <c r="H7" s="5"/>
      <c r="I7" s="5"/>
      <c r="J7" s="5"/>
      <c r="K7" s="5"/>
      <c r="L7" s="5"/>
      <c r="M7" s="5"/>
      <c r="N7" s="5"/>
      <c r="O7" s="5"/>
      <c r="P7" s="5"/>
      <c r="Q7" s="5"/>
    </row>
    <row r="8" spans="1:17">
      <c r="A8" s="5"/>
      <c r="B8" s="5"/>
      <c r="C8" s="5"/>
      <c r="D8" s="5"/>
      <c r="E8" s="5"/>
      <c r="F8" s="5"/>
      <c r="G8" s="5"/>
      <c r="H8" s="5"/>
      <c r="I8" s="5"/>
      <c r="J8" s="5"/>
      <c r="K8" s="5"/>
      <c r="L8" s="5"/>
      <c r="M8" s="5"/>
      <c r="N8" s="5"/>
      <c r="O8" s="5"/>
      <c r="P8" s="5"/>
      <c r="Q8" s="5"/>
    </row>
    <row r="9" spans="1:17">
      <c r="A9" s="5"/>
      <c r="B9" s="5"/>
      <c r="C9" s="5"/>
      <c r="D9" s="5"/>
      <c r="E9" s="5"/>
      <c r="F9" s="5"/>
      <c r="G9" s="5"/>
      <c r="H9" s="5"/>
      <c r="I9" s="5"/>
      <c r="J9" s="5"/>
      <c r="K9" s="5"/>
      <c r="L9" s="5"/>
      <c r="M9" s="5"/>
      <c r="N9" s="5"/>
      <c r="O9" s="5"/>
      <c r="P9" s="5"/>
      <c r="Q9" s="5"/>
    </row>
    <row r="10" spans="1:17">
      <c r="A10" s="5"/>
      <c r="B10" s="5"/>
      <c r="C10" s="5"/>
      <c r="D10" s="5"/>
      <c r="E10" s="5"/>
      <c r="F10" s="5"/>
      <c r="G10" s="5"/>
      <c r="H10" s="5"/>
      <c r="I10" s="5"/>
      <c r="J10" s="5"/>
      <c r="K10" s="5"/>
      <c r="L10" s="5"/>
      <c r="M10" s="5"/>
      <c r="N10" s="5"/>
      <c r="O10" s="5"/>
      <c r="P10" s="5"/>
      <c r="Q10" s="5"/>
    </row>
    <row r="11" spans="1:17">
      <c r="A11" s="5"/>
      <c r="B11" s="5"/>
      <c r="C11" s="5"/>
      <c r="D11" s="5"/>
      <c r="E11" s="5"/>
      <c r="F11" s="5"/>
      <c r="G11" s="5"/>
      <c r="H11" s="5"/>
      <c r="I11" s="5"/>
      <c r="J11" s="5"/>
      <c r="K11" s="5"/>
      <c r="L11" s="5"/>
      <c r="M11" s="5"/>
      <c r="N11" s="5"/>
      <c r="O11" s="5"/>
      <c r="P11" s="5"/>
      <c r="Q11" s="5"/>
    </row>
    <row r="12" spans="1:17">
      <c r="A12" s="5"/>
      <c r="B12" s="5"/>
      <c r="C12" s="5"/>
      <c r="D12" s="5"/>
      <c r="E12" s="5"/>
      <c r="F12" s="5"/>
      <c r="G12" s="5"/>
      <c r="H12" s="5"/>
      <c r="I12" s="5"/>
      <c r="J12" s="5"/>
      <c r="K12" s="5"/>
      <c r="L12" s="5"/>
      <c r="M12" s="5"/>
      <c r="N12" s="5"/>
      <c r="O12" s="5"/>
      <c r="P12" s="5"/>
      <c r="Q12" s="5"/>
    </row>
    <row r="13" spans="1:17">
      <c r="A13" s="5"/>
      <c r="B13" s="5"/>
      <c r="C13" s="5"/>
      <c r="D13" s="5"/>
      <c r="E13" s="5"/>
      <c r="F13" s="5"/>
      <c r="G13" s="5"/>
      <c r="H13" s="5"/>
      <c r="I13" s="5"/>
      <c r="J13" s="5"/>
      <c r="K13" s="5"/>
      <c r="L13" s="5"/>
      <c r="M13" s="5"/>
      <c r="N13" s="5"/>
      <c r="O13" s="5"/>
      <c r="P13" s="5"/>
      <c r="Q13" s="5"/>
    </row>
    <row r="14" spans="1:17">
      <c r="A14" s="5"/>
      <c r="B14" s="5"/>
      <c r="C14" s="5"/>
      <c r="D14" s="5"/>
      <c r="E14" s="5"/>
      <c r="F14" s="5"/>
      <c r="G14" s="5"/>
      <c r="H14" s="5"/>
      <c r="I14" s="5"/>
      <c r="J14" s="5"/>
      <c r="K14" s="5"/>
      <c r="L14" s="5"/>
      <c r="M14" s="5"/>
      <c r="N14" s="5"/>
      <c r="O14" s="5"/>
      <c r="P14" s="5"/>
      <c r="Q14" s="5"/>
    </row>
    <row r="15" spans="1:17">
      <c r="A15" s="5"/>
      <c r="B15" s="5"/>
      <c r="C15" s="5"/>
      <c r="D15" s="5"/>
      <c r="E15" s="5"/>
      <c r="F15" s="5"/>
      <c r="G15" s="5"/>
      <c r="H15" s="5"/>
      <c r="I15" s="5"/>
      <c r="J15" s="5"/>
      <c r="K15" s="5"/>
      <c r="L15" s="5"/>
      <c r="M15" s="5"/>
      <c r="N15" s="5"/>
      <c r="O15" s="5"/>
      <c r="P15" s="5"/>
      <c r="Q15" s="5"/>
    </row>
    <row r="16" spans="1:17">
      <c r="A16" s="5"/>
      <c r="B16" s="5"/>
      <c r="C16" s="5"/>
      <c r="D16" s="5"/>
      <c r="E16" s="5"/>
      <c r="F16" s="5"/>
      <c r="G16" s="5"/>
      <c r="H16" s="5"/>
      <c r="I16" s="5"/>
      <c r="J16" s="5"/>
      <c r="K16" s="5"/>
      <c r="L16" s="5"/>
      <c r="M16" s="5"/>
      <c r="N16" s="5"/>
      <c r="O16" s="5"/>
      <c r="P16" s="5"/>
      <c r="Q16"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BDA82-1EF1-49EA-8379-0FB7A18B7BA9}">
  <dimension ref="A1:Q16"/>
  <sheetViews>
    <sheetView workbookViewId="0"/>
  </sheetViews>
  <sheetFormatPr defaultRowHeight="24"/>
  <sheetData>
    <row r="1" spans="1:17">
      <c r="A1" s="5"/>
      <c r="B1" s="5"/>
      <c r="C1" s="5"/>
      <c r="D1" s="5"/>
      <c r="E1" s="5"/>
      <c r="F1" s="5"/>
      <c r="G1" s="5"/>
      <c r="H1" s="5"/>
      <c r="I1" s="5"/>
      <c r="J1" s="5"/>
      <c r="K1" s="5"/>
      <c r="L1" s="5"/>
      <c r="M1" s="5"/>
      <c r="N1" s="5"/>
      <c r="O1" s="5"/>
      <c r="P1" s="5"/>
      <c r="Q1" s="5"/>
    </row>
    <row r="2" spans="1:17">
      <c r="A2" s="5"/>
      <c r="B2" s="5"/>
      <c r="C2" s="5"/>
      <c r="D2" s="5"/>
      <c r="E2" s="5"/>
      <c r="F2" s="5"/>
      <c r="G2" s="5"/>
      <c r="H2" s="5"/>
      <c r="I2" s="5"/>
      <c r="J2" s="5"/>
      <c r="K2" s="5"/>
      <c r="L2" s="5"/>
      <c r="M2" s="5"/>
      <c r="N2" s="5"/>
      <c r="O2" s="5"/>
      <c r="P2" s="5"/>
      <c r="Q2" s="5"/>
    </row>
    <row r="3" spans="1:17">
      <c r="A3" s="5"/>
      <c r="B3" s="5"/>
      <c r="C3" s="5"/>
      <c r="D3" s="5"/>
      <c r="E3" s="5"/>
      <c r="F3" s="5"/>
      <c r="G3" s="5"/>
      <c r="H3" s="5"/>
      <c r="I3" s="5"/>
      <c r="J3" s="5"/>
      <c r="K3" s="5"/>
      <c r="L3" s="5"/>
      <c r="M3" s="5"/>
      <c r="N3" s="5"/>
      <c r="O3" s="5"/>
      <c r="P3" s="5"/>
      <c r="Q3" s="5"/>
    </row>
    <row r="4" spans="1:17">
      <c r="A4" s="5"/>
      <c r="B4" s="5"/>
      <c r="C4" s="5"/>
      <c r="D4" s="5"/>
      <c r="E4" s="5"/>
      <c r="F4" s="5"/>
      <c r="G4" s="5"/>
      <c r="H4" s="5"/>
      <c r="I4" s="5"/>
      <c r="J4" s="5"/>
      <c r="K4" s="5"/>
      <c r="L4" s="5"/>
      <c r="M4" s="5"/>
      <c r="N4" s="5"/>
      <c r="O4" s="5"/>
      <c r="P4" s="5"/>
      <c r="Q4" s="5"/>
    </row>
    <row r="5" spans="1:17">
      <c r="A5" s="5"/>
      <c r="B5" s="5"/>
      <c r="C5" s="5"/>
      <c r="D5" s="5"/>
      <c r="E5" s="5"/>
      <c r="F5" s="5"/>
      <c r="G5" s="5"/>
      <c r="H5" s="5"/>
      <c r="I5" s="5"/>
      <c r="J5" s="5"/>
      <c r="K5" s="5"/>
      <c r="L5" s="5"/>
      <c r="M5" s="5"/>
      <c r="N5" s="5"/>
      <c r="O5" s="5"/>
      <c r="P5" s="5"/>
      <c r="Q5" s="5"/>
    </row>
    <row r="6" spans="1:17">
      <c r="A6" s="5"/>
      <c r="B6" s="5"/>
      <c r="C6" s="5"/>
      <c r="D6" s="5"/>
      <c r="E6" s="5"/>
      <c r="F6" s="5"/>
      <c r="G6" s="5"/>
      <c r="H6" s="5"/>
      <c r="I6" s="5"/>
      <c r="J6" s="5"/>
      <c r="K6" s="5"/>
      <c r="L6" s="5"/>
      <c r="M6" s="5"/>
      <c r="N6" s="5"/>
      <c r="O6" s="5"/>
      <c r="P6" s="5"/>
      <c r="Q6" s="5"/>
    </row>
    <row r="7" spans="1:17">
      <c r="A7" s="5"/>
      <c r="B7" s="5"/>
      <c r="C7" s="5"/>
      <c r="D7" s="5"/>
      <c r="E7" s="5"/>
      <c r="F7" s="5"/>
      <c r="G7" s="5"/>
      <c r="H7" s="5"/>
      <c r="I7" s="5"/>
      <c r="J7" s="5"/>
      <c r="K7" s="5"/>
      <c r="L7" s="5"/>
      <c r="M7" s="5"/>
      <c r="N7" s="5"/>
      <c r="O7" s="5"/>
      <c r="P7" s="5"/>
      <c r="Q7" s="5"/>
    </row>
    <row r="8" spans="1:17">
      <c r="A8" s="5"/>
      <c r="B8" s="5"/>
      <c r="C8" s="5"/>
      <c r="D8" s="5"/>
      <c r="E8" s="5"/>
      <c r="F8" s="5"/>
      <c r="G8" s="5"/>
      <c r="H8" s="5"/>
      <c r="I8" s="5"/>
      <c r="J8" s="5"/>
      <c r="K8" s="5"/>
      <c r="L8" s="5"/>
      <c r="M8" s="5"/>
      <c r="N8" s="5"/>
      <c r="O8" s="5"/>
      <c r="P8" s="5"/>
      <c r="Q8" s="5"/>
    </row>
    <row r="9" spans="1:17">
      <c r="A9" s="5"/>
      <c r="B9" s="5"/>
      <c r="C9" s="5"/>
      <c r="D9" s="5"/>
      <c r="E9" s="5"/>
      <c r="F9" s="5"/>
      <c r="G9" s="5"/>
      <c r="H9" s="5"/>
      <c r="I9" s="5"/>
      <c r="J9" s="5"/>
      <c r="K9" s="5"/>
      <c r="L9" s="5"/>
      <c r="M9" s="5"/>
      <c r="N9" s="5"/>
      <c r="O9" s="5"/>
      <c r="P9" s="5"/>
      <c r="Q9" s="5"/>
    </row>
    <row r="10" spans="1:17">
      <c r="A10" s="5"/>
      <c r="B10" s="5"/>
      <c r="C10" s="5"/>
      <c r="D10" s="5"/>
      <c r="E10" s="5"/>
      <c r="F10" s="5"/>
      <c r="G10" s="5"/>
      <c r="H10" s="5"/>
      <c r="I10" s="5"/>
      <c r="J10" s="5"/>
      <c r="K10" s="5"/>
      <c r="L10" s="5"/>
      <c r="M10" s="5"/>
      <c r="N10" s="5"/>
      <c r="O10" s="5"/>
      <c r="P10" s="5"/>
      <c r="Q10" s="5"/>
    </row>
    <row r="11" spans="1:17">
      <c r="A11" s="5"/>
      <c r="B11" s="5"/>
      <c r="C11" s="5"/>
      <c r="D11" s="5"/>
      <c r="E11" s="5"/>
      <c r="F11" s="5"/>
      <c r="G11" s="5"/>
      <c r="H11" s="5"/>
      <c r="I11" s="5"/>
      <c r="J11" s="5"/>
      <c r="K11" s="5"/>
      <c r="L11" s="5"/>
      <c r="M11" s="5"/>
      <c r="N11" s="5"/>
      <c r="O11" s="5"/>
      <c r="P11" s="5"/>
      <c r="Q11" s="5"/>
    </row>
    <row r="12" spans="1:17">
      <c r="A12" s="5"/>
      <c r="B12" s="5"/>
      <c r="C12" s="5"/>
      <c r="D12" s="5"/>
      <c r="E12" s="5"/>
      <c r="F12" s="5"/>
      <c r="G12" s="5"/>
      <c r="H12" s="5"/>
      <c r="I12" s="5"/>
      <c r="J12" s="5"/>
      <c r="K12" s="5"/>
      <c r="L12" s="5"/>
      <c r="M12" s="5"/>
      <c r="N12" s="5"/>
      <c r="O12" s="5"/>
      <c r="P12" s="5"/>
      <c r="Q12" s="5"/>
    </row>
    <row r="13" spans="1:17">
      <c r="A13" s="5"/>
      <c r="B13" s="5"/>
      <c r="C13" s="5"/>
      <c r="D13" s="5"/>
      <c r="E13" s="5"/>
      <c r="F13" s="5"/>
      <c r="G13" s="5"/>
      <c r="H13" s="5"/>
      <c r="I13" s="5"/>
      <c r="J13" s="5"/>
      <c r="K13" s="5"/>
      <c r="L13" s="5"/>
      <c r="M13" s="5"/>
      <c r="N13" s="5"/>
      <c r="O13" s="5"/>
      <c r="P13" s="5"/>
      <c r="Q13" s="5"/>
    </row>
    <row r="14" spans="1:17">
      <c r="A14" s="5"/>
      <c r="B14" s="5"/>
      <c r="C14" s="5"/>
      <c r="D14" s="5"/>
      <c r="E14" s="5"/>
      <c r="F14" s="5"/>
      <c r="G14" s="5"/>
      <c r="H14" s="5"/>
      <c r="I14" s="5"/>
      <c r="J14" s="5"/>
      <c r="K14" s="5"/>
      <c r="L14" s="5"/>
      <c r="M14" s="5"/>
      <c r="N14" s="5"/>
      <c r="O14" s="5"/>
      <c r="P14" s="5"/>
      <c r="Q14" s="5"/>
    </row>
    <row r="15" spans="1:17">
      <c r="A15" s="5"/>
      <c r="B15" s="5"/>
      <c r="C15" s="5"/>
      <c r="D15" s="5"/>
      <c r="E15" s="5"/>
      <c r="F15" s="5"/>
      <c r="G15" s="5"/>
      <c r="H15" s="5"/>
      <c r="I15" s="5"/>
      <c r="J15" s="5"/>
      <c r="K15" s="5"/>
      <c r="L15" s="5"/>
      <c r="M15" s="5"/>
      <c r="N15" s="5"/>
      <c r="O15" s="5"/>
      <c r="P15" s="5"/>
      <c r="Q15" s="5"/>
    </row>
    <row r="16" spans="1:17">
      <c r="A16" s="5"/>
      <c r="B16" s="5"/>
      <c r="C16" s="5"/>
      <c r="D16" s="5"/>
      <c r="E16" s="5"/>
      <c r="F16" s="5"/>
      <c r="G16" s="5"/>
      <c r="H16" s="5"/>
      <c r="I16" s="5"/>
      <c r="J16" s="5"/>
      <c r="K16" s="5"/>
      <c r="L16" s="5"/>
      <c r="M16" s="5"/>
      <c r="N16" s="5"/>
      <c r="O16" s="5"/>
      <c r="P16" s="5"/>
      <c r="Q16"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F69E1EE-3483-4304-9EC3-610023C06EAA}">
  <ds:schemaRefs>
    <ds:schemaRef ds:uri="http://schemas.microsoft.com/DataMashup"/>
  </ds:schemaRefs>
</ds:datastoreItem>
</file>

<file path=customXml/itemProps2.xml><?xml version="1.0" encoding="utf-8"?>
<ds:datastoreItem xmlns:ds="http://schemas.openxmlformats.org/officeDocument/2006/customXml" ds:itemID="{A30BF4C7-4EC8-4A7C-BF16-6B39785797B7}">
  <ds:schemaRefs/>
</ds:datastoreItem>
</file>

<file path=customXml/itemProps3.xml><?xml version="1.0" encoding="utf-8"?>
<ds:datastoreItem xmlns:ds="http://schemas.openxmlformats.org/officeDocument/2006/customXml" ds:itemID="{2AA8AC4E-796F-4EA5-B5E7-712082C8AB22}">
  <ds:schemaRefs/>
</ds:datastoreItem>
</file>

<file path=customXml/itemProps4.xml><?xml version="1.0" encoding="utf-8"?>
<ds:datastoreItem xmlns:ds="http://schemas.openxmlformats.org/officeDocument/2006/customXml" ds:itemID="{0334B30C-64D6-48E1-BB20-BA7B66F0D23E}">
  <ds:schemaRefs/>
</ds:datastoreItem>
</file>

<file path=customXml/itemProps5.xml><?xml version="1.0" encoding="utf-8"?>
<ds:datastoreItem xmlns:ds="http://schemas.openxmlformats.org/officeDocument/2006/customXml" ds:itemID="{55DCA757-B816-4BC9-9387-94C7F2D7BD04}">
  <ds:schemaRefs/>
</ds:datastoreItem>
</file>

<file path=customXml/itemProps6.xml><?xml version="1.0" encoding="utf-8"?>
<ds:datastoreItem xmlns:ds="http://schemas.openxmlformats.org/officeDocument/2006/customXml" ds:itemID="{3BBD7F43-9A82-43EC-9CC7-3EC3776EB9CC}">
  <ds:schemaRefs/>
</ds:datastoreItem>
</file>

<file path=customXml/itemProps7.xml><?xml version="1.0" encoding="utf-8"?>
<ds:datastoreItem xmlns:ds="http://schemas.openxmlformats.org/officeDocument/2006/customXml" ds:itemID="{E78E025D-3A12-44E0-96BF-07B4EB4EAF08}">
  <ds:schemaRefs/>
</ds:datastoreItem>
</file>

<file path=customXml/itemProps8.xml><?xml version="1.0" encoding="utf-8"?>
<ds:datastoreItem xmlns:ds="http://schemas.openxmlformats.org/officeDocument/2006/customXml" ds:itemID="{B367DDDE-1017-46DD-8291-51025DDC040A}">
  <ds:schemaRefs/>
</ds:datastoreItem>
</file>

<file path=customXml/itemProps9.xml><?xml version="1.0" encoding="utf-8"?>
<ds:datastoreItem xmlns:ds="http://schemas.openxmlformats.org/officeDocument/2006/customXml" ds:itemID="{2708C56A-D96F-400E-9C19-082858E715DD}">
  <ds:schemaRefs/>
</ds:datastoreItem>
</file>

<file path=customXml/itemProps10.xml><?xml version="1.0" encoding="utf-8"?>
<ds:datastoreItem xmlns:ds="http://schemas.openxmlformats.org/officeDocument/2006/customXml" ds:itemID="{2C518CFF-C031-4632-B30C-25D528488654}">
  <ds:schemaRefs/>
</ds:datastoreItem>
</file>

<file path=customXml/itemProps11.xml><?xml version="1.0" encoding="utf-8"?>
<ds:datastoreItem xmlns:ds="http://schemas.openxmlformats.org/officeDocument/2006/customXml" ds:itemID="{CF3BE640-71B5-496F-8277-6F5843C72A1B}">
  <ds:schemaRefs/>
</ds:datastoreItem>
</file>

<file path=customXml/itemProps12.xml><?xml version="1.0" encoding="utf-8"?>
<ds:datastoreItem xmlns:ds="http://schemas.openxmlformats.org/officeDocument/2006/customXml" ds:itemID="{ACB48EA1-6FCC-4E1B-BD02-D15573FDAD91}">
  <ds:schemaRefs/>
</ds:datastoreItem>
</file>

<file path=customXml/itemProps13.xml><?xml version="1.0" encoding="utf-8"?>
<ds:datastoreItem xmlns:ds="http://schemas.openxmlformats.org/officeDocument/2006/customXml" ds:itemID="{3D983E40-B6DA-40C1-8F5E-39AA7CCC271B}">
  <ds:schemaRefs/>
</ds:datastoreItem>
</file>

<file path=customXml/itemProps14.xml><?xml version="1.0" encoding="utf-8"?>
<ds:datastoreItem xmlns:ds="http://schemas.openxmlformats.org/officeDocument/2006/customXml" ds:itemID="{756FB444-5359-4610-9927-D894C513D315}">
  <ds:schemaRefs/>
</ds:datastoreItem>
</file>

<file path=customXml/itemProps15.xml><?xml version="1.0" encoding="utf-8"?>
<ds:datastoreItem xmlns:ds="http://schemas.openxmlformats.org/officeDocument/2006/customXml" ds:itemID="{6472D3FD-9135-4544-9521-59D89BE98CE7}">
  <ds:schemaRefs/>
</ds:datastoreItem>
</file>

<file path=customXml/itemProps16.xml><?xml version="1.0" encoding="utf-8"?>
<ds:datastoreItem xmlns:ds="http://schemas.openxmlformats.org/officeDocument/2006/customXml" ds:itemID="{4B40BF72-54CB-42DC-96DF-25AF56E84ADB}">
  <ds:schemaRefs/>
</ds:datastoreItem>
</file>

<file path=customXml/itemProps17.xml><?xml version="1.0" encoding="utf-8"?>
<ds:datastoreItem xmlns:ds="http://schemas.openxmlformats.org/officeDocument/2006/customXml" ds:itemID="{F63032EE-F513-422E-AE6B-A960A54DEA11}">
  <ds:schemaRefs/>
</ds:datastoreItem>
</file>

<file path=customXml/itemProps18.xml><?xml version="1.0" encoding="utf-8"?>
<ds:datastoreItem xmlns:ds="http://schemas.openxmlformats.org/officeDocument/2006/customXml" ds:itemID="{C9DCC75D-328F-49B7-ABA7-B0165B761E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No.of Patient</vt:lpstr>
      <vt:lpstr>Avg wait time daily trend</vt:lpstr>
      <vt:lpstr>Satisfaction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Sayali Patil</dc:creator>
  <cp:lastModifiedBy>Sayali Patil</cp:lastModifiedBy>
  <dcterms:created xsi:type="dcterms:W3CDTF">2026-03-02T09:13:35Z</dcterms:created>
  <dcterms:modified xsi:type="dcterms:W3CDTF">2026-03-03T15:05:34Z</dcterms:modified>
</cp:coreProperties>
</file>